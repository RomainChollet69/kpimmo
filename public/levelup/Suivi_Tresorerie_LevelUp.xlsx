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💰 Mes Ventes" sheetId="1" state="visible" r:id="rId3"/>
    <sheet name="📅 Mes Charges" sheetId="2" state="visible" r:id="rId4"/>
    <sheet name="📊 Tableau de Bord" sheetId="3" state="visible" r:id="rId5"/>
    <sheet name="🎯 Mon BF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<sst xmlns="http://schemas.openxmlformats.org/spreadsheetml/2006/main" count="129" uniqueCount="113">
  <si>
    <t xml:space="preserve">💰  MES VENTES — SAISIE ICI</t>
  </si>
  <si>
    <t xml:space="preserve">👉  Remplis une ligne par vente. Le tableau de bord se met à jour automatiquement.</t>
  </si>
  <si>
    <t xml:space="preserve">#</t>
  </si>
  <si>
    <t xml:space="preserve">Date de vente</t>
  </si>
  <si>
    <t xml:space="preserve">Type de bien</t>
  </si>
  <si>
    <t xml:space="preserve">Adresse (optionnel)</t>
  </si>
  <si>
    <t xml:space="preserve">Honoraires HT (€)</t>
  </si>
  <si>
    <t xml:space="preserve">Palier Efficity (%)</t>
  </si>
  <si>
    <t xml:space="preserve">Honoraires Nets (€)</t>
  </si>
  <si>
    <t xml:space="preserve">Mois</t>
  </si>
  <si>
    <t xml:space="preserve">Trimestre</t>
  </si>
  <si>
    <t xml:space="preserve">Commentaire</t>
  </si>
  <si>
    <t xml:space="preserve">TOTAL ANNUEL</t>
  </si>
  <si>
    <t xml:space="preserve">📅  MES CHARGES — FIXES &amp; VARIABLES</t>
  </si>
  <si>
    <t xml:space="preserve">👉  Les charges fixes sont pré-remplies. Modifie les montants en jaune selon ta situation. Ajoute tes charges variables en bas.</t>
  </si>
  <si>
    <t xml:space="preserve">Charge</t>
  </si>
  <si>
    <t xml:space="preserve">Montant mensuel</t>
  </si>
  <si>
    <t xml:space="preserve">Janv.</t>
  </si>
  <si>
    <t xml:space="preserve">Févr.</t>
  </si>
  <si>
    <t xml:space="preserve">Mars</t>
  </si>
  <si>
    <t xml:space="preserve">Avr.</t>
  </si>
  <si>
    <t xml:space="preserve">Mai</t>
  </si>
  <si>
    <t xml:space="preserve">Juin</t>
  </si>
  <si>
    <t xml:space="preserve">Juil.</t>
  </si>
  <si>
    <t xml:space="preserve">Août</t>
  </si>
  <si>
    <t xml:space="preserve">Sept.</t>
  </si>
  <si>
    <t xml:space="preserve">Oct.</t>
  </si>
  <si>
    <t xml:space="preserve">Nov.</t>
  </si>
  <si>
    <t xml:space="preserve">Déc.</t>
  </si>
  <si>
    <t xml:space="preserve">TOTAL</t>
  </si>
  <si>
    <t xml:space="preserve">📌  CHARGES FIXES PROFESSIONNELLES</t>
  </si>
  <si>
    <t xml:space="preserve">Efficity — Pack de base</t>
  </si>
  <si>
    <t xml:space="preserve">Efficity — Option estimations</t>
  </si>
  <si>
    <t xml:space="preserve">Formation annuelle Efficity</t>
  </si>
  <si>
    <t xml:space="preserve">Mutuelle santé</t>
  </si>
  <si>
    <t xml:space="preserve">Prévoyance / Assurance</t>
  </si>
  <si>
    <t xml:space="preserve">Téléphone professionnel</t>
  </si>
  <si>
    <t xml:space="preserve">Internet / Box</t>
  </si>
  <si>
    <t xml:space="preserve">Abonnements outils (CRM, etc.)</t>
  </si>
  <si>
    <t xml:space="preserve">Comptable / Expert-comptable</t>
  </si>
  <si>
    <t xml:space="preserve">Assurance RC Pro</t>
  </si>
  <si>
    <t xml:space="preserve">Sous-total Charges Fixes</t>
  </si>
  <si>
    <t xml:space="preserve">🏠  CHARGES PERSONNELLES (pour BFR complet)</t>
  </si>
  <si>
    <t xml:space="preserve">Loyer / Crédit immobilier</t>
  </si>
  <si>
    <t xml:space="preserve">Courses alimentaires</t>
  </si>
  <si>
    <t xml:space="preserve">Véhicule (carburant + assurance)</t>
  </si>
  <si>
    <t xml:space="preserve">Crédits divers</t>
  </si>
  <si>
    <t xml:space="preserve">Loisirs / Sport / Abonnements</t>
  </si>
  <si>
    <t xml:space="preserve">Autres dépenses personnelles</t>
  </si>
  <si>
    <t xml:space="preserve">Sous-total Charges Perso</t>
  </si>
  <si>
    <t xml:space="preserve">💸  TOTAL CHARGES MENSUELLES</t>
  </si>
  <si>
    <t xml:space="preserve">📊  TABLEAU DE BORD — SE MET À JOUR AUTOMATIQUEMENT</t>
  </si>
  <si>
    <t xml:space="preserve">✅  Tu n'as rien à saisir ici. Tout se calcule depuis tes onglets Ventes et Charges.</t>
  </si>
  <si>
    <t xml:space="preserve">Indicateur</t>
  </si>
  <si>
    <t xml:space="preserve">TOTAL / MOY.</t>
  </si>
  <si>
    <t xml:space="preserve">💵  CA Brut HT (honoraires saisis)</t>
  </si>
  <si>
    <t xml:space="preserve">💚  CA Net (après cotisations 22%)</t>
  </si>
  <si>
    <t xml:space="preserve">💸  Total Charges (pro + perso)</t>
  </si>
  <si>
    <t xml:space="preserve">📈  RÉSULTAT NET DU MOIS</t>
  </si>
  <si>
    <t xml:space="preserve">🎯  Objectif BFR mensuel</t>
  </si>
  <si>
    <t xml:space="preserve">⚡  Écart vs BFR (+ = OK / - = Danger)</t>
  </si>
  <si>
    <t xml:space="preserve">🏠  Nombre de ventes</t>
  </si>
  <si>
    <t xml:space="preserve">📐  Honoraires moyens / vente</t>
  </si>
  <si>
    <t xml:space="preserve">🎯  MON BESOIN EN FONDS DE ROULEMENT (BFR)</t>
  </si>
  <si>
    <t xml:space="preserve">👉  Remplis les cases jaunes. Le BFR se calcule automatiquement et alimente ton tableau de bord.</t>
  </si>
  <si>
    <t xml:space="preserve">📌  CHARGES PROFESSIONNELLES MENSUELLES</t>
  </si>
  <si>
    <t xml:space="preserve">Efficity — Pack + options</t>
  </si>
  <si>
    <t xml:space="preserve">Pack base 105€ + option estimations 84€ HT/mois</t>
  </si>
  <si>
    <t xml:space="preserve">Prévoyance / Mutuelle pro</t>
  </si>
  <si>
    <t xml:space="preserve">Adapte selon ton contrat</t>
  </si>
  <si>
    <t xml:space="preserve">Téléphone + Internet</t>
  </si>
  <si>
    <t xml:space="preserve">Forfait pro + box</t>
  </si>
  <si>
    <t xml:space="preserve">Comptable / Abonnements outils</t>
  </si>
  <si>
    <t xml:space="preserve">CRM, logiciels, comptabilité</t>
  </si>
  <si>
    <t xml:space="preserve">Autres charges pro</t>
  </si>
  <si>
    <t xml:space="preserve">Carburant, parking, fournitures...</t>
  </si>
  <si>
    <t xml:space="preserve">TOTAL charges pro / mois</t>
  </si>
  <si>
    <t xml:space="preserve">Calculé automatiquement</t>
  </si>
  <si>
    <t xml:space="preserve">🏠  CHARGES PERSONNELLES MENSUELLES</t>
  </si>
  <si>
    <t xml:space="preserve">Ta charge de logement mensuelle</t>
  </si>
  <si>
    <t xml:space="preserve">Alimentation + vie courante</t>
  </si>
  <si>
    <t xml:space="preserve">Courses, restaurants, quotidien</t>
  </si>
  <si>
    <t xml:space="preserve">Hors usage pro déjà compté</t>
  </si>
  <si>
    <t xml:space="preserve">Crédits personnels</t>
  </si>
  <si>
    <t xml:space="preserve">Crédits conso, auto...</t>
  </si>
  <si>
    <t xml:space="preserve">Streaming, salle de sport, sorties...</t>
  </si>
  <si>
    <t xml:space="preserve">Épargne mensuelle souhaitée</t>
  </si>
  <si>
    <t xml:space="preserve">Ton objectif d'épargne — ne pas négliger !</t>
  </si>
  <si>
    <t xml:space="preserve">TOTAL charges perso / mois</t>
  </si>
  <si>
    <t xml:space="preserve">🎯  RÉSULTATS BFR</t>
  </si>
  <si>
    <t xml:space="preserve">💸  BFR mensuel total (charges pro + perso)</t>
  </si>
  <si>
    <t xml:space="preserve">Ton besoin net mensuel pour vivre</t>
  </si>
  <si>
    <t xml:space="preserve">📅  BFR annuel</t>
  </si>
  <si>
    <t xml:space="preserve">BFR mensuel × 12</t>
  </si>
  <si>
    <t xml:space="preserve">💵  CA HT à facturer / an (cotisations 22%)</t>
  </si>
  <si>
    <t xml:space="preserve">Car 22% partent en cotisations auto-entrepreneur</t>
  </si>
  <si>
    <t xml:space="preserve">🏠  Mandats à signer / an (honoraires moy. 5 000€)</t>
  </si>
  <si>
    <t xml:space="preserve">Basé sur honoraires moyens de 5 000€ HT — adapte si besoin</t>
  </si>
  <si>
    <t xml:space="preserve">📆  Mandats à signer / mois</t>
  </si>
  <si>
    <t xml:space="preserve">Objectif mensuel minimum</t>
  </si>
  <si>
    <t xml:space="preserve">📞  RDV d'estimation / mois (taux transfo 40%)</t>
  </si>
  <si>
    <t xml:space="preserve">Si tu signes 40% de tes RDV — ajuste selon ton taux réel</t>
  </si>
  <si>
    <t xml:space="preserve">📊  PALIERS EFFICITY — rappel</t>
  </si>
  <si>
    <t xml:space="preserve">0 → 25 000 € de CA HT</t>
  </si>
  <si>
    <t xml:space="preserve">70% reversés</t>
  </si>
  <si>
    <t xml:space="preserve">Frais mensuels : 105€ + 84€ (options) = 189€ HT/mois</t>
  </si>
  <si>
    <t xml:space="preserve">25 001 → 50 000 € de CA HT</t>
  </si>
  <si>
    <t xml:space="preserve">78% reversés</t>
  </si>
  <si>
    <t xml:space="preserve">50 001 → 150 000 € de CA HT</t>
  </si>
  <si>
    <t xml:space="preserve">90% reversés</t>
  </si>
  <si>
    <t xml:space="preserve">Au-delà de 150 000 € de CA HT</t>
  </si>
  <si>
    <t xml:space="preserve">100% reversés</t>
  </si>
  <si>
    <t xml:space="preserve">💡  Astuce : modifie les montants en jaune pour simuler différentes situations de vie.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</si>
</sst>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&quot; €&quot;"/>
    <numFmt numFmtId="167" formatCode="0\%"/>
    <numFmt numFmtId="168" formatCode="#,##0.00&quot; €&quot;"/>
    <numFmt numFmtId="169" formatCode="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D7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2ECC7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D700"/>
      <name val="Arial"/>
      <family val="0"/>
      <charset val="1"/>
    </font>
    <font>
      <b val="true"/>
      <sz val="11"/>
      <color rgb="FFFFD7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1"/>
      <color rgb="FF2ECC71"/>
      <name val="Arial"/>
      <family val="0"/>
      <charset val="1"/>
    </font>
    <font>
      <sz val="10"/>
      <color rgb="FF2ECC71"/>
      <name val="Arial"/>
      <family val="0"/>
      <charset val="1"/>
    </font>
    <font>
      <sz val="10"/>
      <color rgb="FFE74C3C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2ECC71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FFD7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1A"/>
        <bgColor rgb="FF222222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FFF9D6"/>
        <bgColor rgb="FFF5F5F5"/>
      </patternFill>
    </fill>
    <fill>
      <patternFill patternType="solid">
        <fgColor rgb="FF333333"/>
        <bgColor rgb="FF222222"/>
      </patternFill>
    </fill>
    <fill>
      <patternFill patternType="solid">
        <fgColor rgb="FF444444"/>
        <bgColor rgb="FF555555"/>
      </patternFill>
    </fill>
    <fill>
      <patternFill patternType="solid">
        <fgColor rgb="FFD5F5E3"/>
        <bgColor rgb="FFD6EAF8"/>
      </patternFill>
    </fill>
    <fill>
      <patternFill patternType="solid">
        <fgColor rgb="FF222222"/>
        <bgColor rgb="FF1A1A1A"/>
      </patternFill>
    </fill>
    <fill>
      <patternFill patternType="solid">
        <fgColor rgb="FFFADBD8"/>
        <bgColor rgb="FFE0E0E0"/>
      </patternFill>
    </fill>
    <fill>
      <patternFill patternType="solid">
        <fgColor rgb="FFFFD700"/>
        <bgColor rgb="FFFFFF00"/>
      </patternFill>
    </fill>
    <fill>
      <patternFill patternType="solid">
        <fgColor rgb="FFD6EAF8"/>
        <bgColor rgb="FFD5F5E3"/>
      </patternFill>
    </fill>
    <fill>
      <patternFill patternType="solid">
        <fgColor rgb="FFE0E0E0"/>
        <bgColor rgb="FFD6EA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1A1A"/>
      </left>
      <right style="medium">
        <color rgb="FF1A1A1A"/>
      </right>
      <top style="medium">
        <color rgb="FF1A1A1A"/>
      </top>
      <bottom style="medium">
        <color rgb="FF1A1A1A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555555"/>
      <rgbColor rgb="FFFFF9D6"/>
      <rgbColor rgb="FFD6EAF8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F5E3"/>
      <rgbColor rgb="FFFFFF99"/>
      <rgbColor rgb="FF99CCFF"/>
      <rgbColor rgb="FFFF99CC"/>
      <rgbColor rgb="FFCC99FF"/>
      <rgbColor rgb="FFFADBD8"/>
      <rgbColor rgb="FF3366FF"/>
      <rgbColor rgb="FF2ECC71"/>
      <rgbColor rgb="FF99CC00"/>
      <rgbColor rgb="FFFFD700"/>
      <rgbColor rgb="FFFF9900"/>
      <rgbColor rgb="FFE74C3C"/>
      <rgbColor rgb="FF666666"/>
      <rgbColor rgb="FF969696"/>
      <rgbColor rgb="FF003366"/>
      <rgbColor rgb="FF339966"/>
      <rgbColor rgb="FF1A1A1A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7" min="5" style="0" width="20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str">
        <f aca="false">IF(E4&lt;&gt;"",ROW()-3,"")</f>
        <v/>
      </c>
      <c r="B4" s="5"/>
      <c r="C4" s="6"/>
      <c r="D4" s="7"/>
      <c r="E4" s="8"/>
      <c r="F4" s="9" t="str">
        <f aca="false">IF(E4="","",IF('🎯 Mon BFR'!B20="","70%",IF(SUMIF(H$4:H4,"&lt;="&amp;H4,E$4:E4)-E4&gt;=150000,"100%",IF(SUMIF(H$4:H4,"&lt;="&amp;H4,E$4:E4)-E4&gt;=50000,"90%",IF(SUMIF(H$4:H4,"&lt;="&amp;H4,E$4:E4)-E4&gt;=25000,"78%","70%")))))</f>
        <v/>
      </c>
      <c r="G4" s="10" t="str">
        <f aca="false">IF(E4="","",E4*(1-0.22)*(VALUE(SUBSTITUTE(F4,"%",""))/100))</f>
        <v/>
      </c>
      <c r="H4" s="4" t="str">
        <f aca="false">IF(B4="","",MONTH(B4))</f>
        <v/>
      </c>
      <c r="I4" s="4" t="str">
        <f aca="false">IF(B4="","","T"&amp;ROUNDUP(MONTH(B4)/3,0))</f>
        <v/>
      </c>
      <c r="J4" s="11"/>
    </row>
    <row r="5" customFormat="false" ht="15" hidden="false" customHeight="false" outlineLevel="0" collapsed="false">
      <c r="A5" s="12" t="str">
        <f aca="false">IF(E5&lt;&gt;"",ROW()-3,"")</f>
        <v/>
      </c>
      <c r="B5" s="5"/>
      <c r="C5" s="6"/>
      <c r="D5" s="7"/>
      <c r="E5" s="8"/>
      <c r="F5" s="13" t="str">
        <f aca="false">IF(E5="","",IF('🎯 Mon BFR'!B20="","70%",IF(SUMIF(H$4:H5,"&lt;="&amp;H5,E$4:E5)-E5&gt;=150000,"100%",IF(SUMIF(H$4:H5,"&lt;="&amp;H5,E$4:E5)-E5&gt;=50000,"90%",IF(SUMIF(H$4:H5,"&lt;="&amp;H5,E$4:E5)-E5&gt;=25000,"78%","70%")))))</f>
        <v/>
      </c>
      <c r="G5" s="14" t="str">
        <f aca="false">IF(E5="","",E5*(1-0.22)*(VALUE(SUBSTITUTE(F5,"%",""))/100))</f>
        <v/>
      </c>
      <c r="H5" s="12" t="str">
        <f aca="false">IF(B5="","",MONTH(B5))</f>
        <v/>
      </c>
      <c r="I5" s="12" t="str">
        <f aca="false">IF(B5="","","T"&amp;ROUNDUP(MONTH(B5)/3,0))</f>
        <v/>
      </c>
      <c r="J5" s="15"/>
    </row>
    <row r="6" customFormat="false" ht="15" hidden="false" customHeight="false" outlineLevel="0" collapsed="false">
      <c r="A6" s="4" t="str">
        <f aca="false">IF(E6&lt;&gt;"",ROW()-3,"")</f>
        <v/>
      </c>
      <c r="B6" s="5"/>
      <c r="C6" s="6"/>
      <c r="D6" s="7"/>
      <c r="E6" s="8"/>
      <c r="F6" s="9" t="str">
        <f aca="false">IF(E6="","",IF('🎯 Mon BFR'!B20="","70%",IF(SUMIF(H$4:H6,"&lt;="&amp;H6,E$4:E6)-E6&gt;=150000,"100%",IF(SUMIF(H$4:H6,"&lt;="&amp;H6,E$4:E6)-E6&gt;=50000,"90%",IF(SUMIF(H$4:H6,"&lt;="&amp;H6,E$4:E6)-E6&gt;=25000,"78%","70%")))))</f>
        <v/>
      </c>
      <c r="G6" s="10" t="str">
        <f aca="false">IF(E6="","",E6*(1-0.22)*(VALUE(SUBSTITUTE(F6,"%",""))/100))</f>
        <v/>
      </c>
      <c r="H6" s="4" t="str">
        <f aca="false">IF(B6="","",MONTH(B6))</f>
        <v/>
      </c>
      <c r="I6" s="4" t="str">
        <f aca="false">IF(B6="","","T"&amp;ROUNDUP(MONTH(B6)/3,0))</f>
        <v/>
      </c>
      <c r="J6" s="11"/>
    </row>
    <row r="7" customFormat="false" ht="15" hidden="false" customHeight="false" outlineLevel="0" collapsed="false">
      <c r="A7" s="12" t="str">
        <f aca="false">IF(E7&lt;&gt;"",ROW()-3,"")</f>
        <v/>
      </c>
      <c r="B7" s="5"/>
      <c r="C7" s="6"/>
      <c r="D7" s="7"/>
      <c r="E7" s="8"/>
      <c r="F7" s="13" t="str">
        <f aca="false">IF(E7="","",IF('🎯 Mon BFR'!B20="","70%",IF(SUMIF(H$4:H7,"&lt;="&amp;H7,E$4:E7)-E7&gt;=150000,"100%",IF(SUMIF(H$4:H7,"&lt;="&amp;H7,E$4:E7)-E7&gt;=50000,"90%",IF(SUMIF(H$4:H7,"&lt;="&amp;H7,E$4:E7)-E7&gt;=25000,"78%","70%")))))</f>
        <v/>
      </c>
      <c r="G7" s="14" t="str">
        <f aca="false">IF(E7="","",E7*(1-0.22)*(VALUE(SUBSTITUTE(F7,"%",""))/100))</f>
        <v/>
      </c>
      <c r="H7" s="12" t="str">
        <f aca="false">IF(B7="","",MONTH(B7))</f>
        <v/>
      </c>
      <c r="I7" s="12" t="str">
        <f aca="false">IF(B7="","","T"&amp;ROUNDUP(MONTH(B7)/3,0))</f>
        <v/>
      </c>
      <c r="J7" s="15"/>
    </row>
    <row r="8" customFormat="false" ht="15" hidden="false" customHeight="false" outlineLevel="0" collapsed="false">
      <c r="A8" s="4" t="str">
        <f aca="false">IF(E8&lt;&gt;"",ROW()-3,"")</f>
        <v/>
      </c>
      <c r="B8" s="5"/>
      <c r="C8" s="6"/>
      <c r="D8" s="7"/>
      <c r="E8" s="8"/>
      <c r="F8" s="9" t="str">
        <f aca="false">IF(E8="","",IF('🎯 Mon BFR'!B20="","70%",IF(SUMIF(H$4:H8,"&lt;="&amp;H8,E$4:E8)-E8&gt;=150000,"100%",IF(SUMIF(H$4:H8,"&lt;="&amp;H8,E$4:E8)-E8&gt;=50000,"90%",IF(SUMIF(H$4:H8,"&lt;="&amp;H8,E$4:E8)-E8&gt;=25000,"78%","70%")))))</f>
        <v/>
      </c>
      <c r="G8" s="10" t="str">
        <f aca="false">IF(E8="","",E8*(1-0.22)*(VALUE(SUBSTITUTE(F8,"%",""))/100))</f>
        <v/>
      </c>
      <c r="H8" s="4" t="str">
        <f aca="false">IF(B8="","",MONTH(B8))</f>
        <v/>
      </c>
      <c r="I8" s="4" t="str">
        <f aca="false">IF(B8="","","T"&amp;ROUNDUP(MONTH(B8)/3,0))</f>
        <v/>
      </c>
      <c r="J8" s="11"/>
    </row>
    <row r="9" customFormat="false" ht="15" hidden="false" customHeight="false" outlineLevel="0" collapsed="false">
      <c r="A9" s="12" t="str">
        <f aca="false">IF(E9&lt;&gt;"",ROW()-3,"")</f>
        <v/>
      </c>
      <c r="B9" s="5"/>
      <c r="C9" s="6"/>
      <c r="D9" s="7"/>
      <c r="E9" s="8"/>
      <c r="F9" s="13" t="str">
        <f aca="false">IF(E9="","",IF('🎯 Mon BFR'!B20="","70%",IF(SUMIF(H$4:H9,"&lt;="&amp;H9,E$4:E9)-E9&gt;=150000,"100%",IF(SUMIF(H$4:H9,"&lt;="&amp;H9,E$4:E9)-E9&gt;=50000,"90%",IF(SUMIF(H$4:H9,"&lt;="&amp;H9,E$4:E9)-E9&gt;=25000,"78%","70%")))))</f>
        <v/>
      </c>
      <c r="G9" s="14" t="str">
        <f aca="false">IF(E9="","",E9*(1-0.22)*(VALUE(SUBSTITUTE(F9,"%",""))/100))</f>
        <v/>
      </c>
      <c r="H9" s="12" t="str">
        <f aca="false">IF(B9="","",MONTH(B9))</f>
        <v/>
      </c>
      <c r="I9" s="12" t="str">
        <f aca="false">IF(B9="","","T"&amp;ROUNDUP(MONTH(B9)/3,0))</f>
        <v/>
      </c>
      <c r="J9" s="15"/>
    </row>
    <row r="10" customFormat="false" ht="15" hidden="false" customHeight="false" outlineLevel="0" collapsed="false">
      <c r="A10" s="4" t="str">
        <f aca="false">IF(E10&lt;&gt;"",ROW()-3,"")</f>
        <v/>
      </c>
      <c r="B10" s="5"/>
      <c r="C10" s="6"/>
      <c r="D10" s="7"/>
      <c r="E10" s="8"/>
      <c r="F10" s="9" t="str">
        <f aca="false">IF(E10="","",IF('🎯 Mon BFR'!B20="","70%",IF(SUMIF(H$4:H10,"&lt;="&amp;H10,E$4:E10)-E10&gt;=150000,"100%",IF(SUMIF(H$4:H10,"&lt;="&amp;H10,E$4:E10)-E10&gt;=50000,"90%",IF(SUMIF(H$4:H10,"&lt;="&amp;H10,E$4:E10)-E10&gt;=25000,"78%","70%")))))</f>
        <v/>
      </c>
      <c r="G10" s="10" t="str">
        <f aca="false">IF(E10="","",E10*(1-0.22)*(VALUE(SUBSTITUTE(F10,"%",""))/100))</f>
        <v/>
      </c>
      <c r="H10" s="4" t="str">
        <f aca="false">IF(B10="","",MONTH(B10))</f>
        <v/>
      </c>
      <c r="I10" s="4" t="str">
        <f aca="false">IF(B10="","","T"&amp;ROUNDUP(MONTH(B10)/3,0))</f>
        <v/>
      </c>
      <c r="J10" s="11"/>
    </row>
    <row r="11" customFormat="false" ht="15" hidden="false" customHeight="false" outlineLevel="0" collapsed="false">
      <c r="A11" s="12" t="str">
        <f aca="false">IF(E11&lt;&gt;"",ROW()-3,"")</f>
        <v/>
      </c>
      <c r="B11" s="5"/>
      <c r="C11" s="6"/>
      <c r="D11" s="7"/>
      <c r="E11" s="8"/>
      <c r="F11" s="13" t="str">
        <f aca="false">IF(E11="","",IF('🎯 Mon BFR'!B20="","70%",IF(SUMIF(H$4:H11,"&lt;="&amp;H11,E$4:E11)-E11&gt;=150000,"100%",IF(SUMIF(H$4:H11,"&lt;="&amp;H11,E$4:E11)-E11&gt;=50000,"90%",IF(SUMIF(H$4:H11,"&lt;="&amp;H11,E$4:E11)-E11&gt;=25000,"78%","70%")))))</f>
        <v/>
      </c>
      <c r="G11" s="14" t="str">
        <f aca="false">IF(E11="","",E11*(1-0.22)*(VALUE(SUBSTITUTE(F11,"%",""))/100))</f>
        <v/>
      </c>
      <c r="H11" s="12" t="str">
        <f aca="false">IF(B11="","",MONTH(B11))</f>
        <v/>
      </c>
      <c r="I11" s="12" t="str">
        <f aca="false">IF(B11="","","T"&amp;ROUNDUP(MONTH(B11)/3,0))</f>
        <v/>
      </c>
      <c r="J11" s="15"/>
    </row>
    <row r="12" customFormat="false" ht="15" hidden="false" customHeight="false" outlineLevel="0" collapsed="false">
      <c r="A12" s="4" t="str">
        <f aca="false">IF(E12&lt;&gt;"",ROW()-3,"")</f>
        <v/>
      </c>
      <c r="B12" s="5"/>
      <c r="C12" s="6"/>
      <c r="D12" s="7"/>
      <c r="E12" s="8"/>
      <c r="F12" s="9" t="str">
        <f aca="false">IF(E12="","",IF('🎯 Mon BFR'!B20="","70%",IF(SUMIF(H$4:H12,"&lt;="&amp;H12,E$4:E12)-E12&gt;=150000,"100%",IF(SUMIF(H$4:H12,"&lt;="&amp;H12,E$4:E12)-E12&gt;=50000,"90%",IF(SUMIF(H$4:H12,"&lt;="&amp;H12,E$4:E12)-E12&gt;=25000,"78%","70%")))))</f>
        <v/>
      </c>
      <c r="G12" s="10" t="str">
        <f aca="false">IF(E12="","",E12*(1-0.22)*(VALUE(SUBSTITUTE(F12,"%",""))/100))</f>
        <v/>
      </c>
      <c r="H12" s="4" t="str">
        <f aca="false">IF(B12="","",MONTH(B12))</f>
        <v/>
      </c>
      <c r="I12" s="4" t="str">
        <f aca="false">IF(B12="","","T"&amp;ROUNDUP(MONTH(B12)/3,0))</f>
        <v/>
      </c>
      <c r="J12" s="11"/>
    </row>
    <row r="13" customFormat="false" ht="15" hidden="false" customHeight="false" outlineLevel="0" collapsed="false">
      <c r="A13" s="12" t="str">
        <f aca="false">IF(E13&lt;&gt;"",ROW()-3,"")</f>
        <v/>
      </c>
      <c r="B13" s="5"/>
      <c r="C13" s="6"/>
      <c r="D13" s="7"/>
      <c r="E13" s="8"/>
      <c r="F13" s="13" t="str">
        <f aca="false">IF(E13="","",IF('🎯 Mon BFR'!B20="","70%",IF(SUMIF(H$4:H13,"&lt;="&amp;H13,E$4:E13)-E13&gt;=150000,"100%",IF(SUMIF(H$4:H13,"&lt;="&amp;H13,E$4:E13)-E13&gt;=50000,"90%",IF(SUMIF(H$4:H13,"&lt;="&amp;H13,E$4:E13)-E13&gt;=25000,"78%","70%")))))</f>
        <v/>
      </c>
      <c r="G13" s="14" t="str">
        <f aca="false">IF(E13="","",E13*(1-0.22)*(VALUE(SUBSTITUTE(F13,"%",""))/100))</f>
        <v/>
      </c>
      <c r="H13" s="12" t="str">
        <f aca="false">IF(B13="","",MONTH(B13))</f>
        <v/>
      </c>
      <c r="I13" s="12" t="str">
        <f aca="false">IF(B13="","","T"&amp;ROUNDUP(MONTH(B13)/3,0))</f>
        <v/>
      </c>
      <c r="J13" s="15"/>
    </row>
    <row r="14" customFormat="false" ht="15" hidden="false" customHeight="false" outlineLevel="0" collapsed="false">
      <c r="A14" s="4" t="str">
        <f aca="false">IF(E14&lt;&gt;"",ROW()-3,"")</f>
        <v/>
      </c>
      <c r="B14" s="5"/>
      <c r="C14" s="6"/>
      <c r="D14" s="7"/>
      <c r="E14" s="8"/>
      <c r="F14" s="9" t="str">
        <f aca="false">IF(E14="","",IF('🎯 Mon BFR'!B20="","70%",IF(SUMIF(H$4:H14,"&lt;="&amp;H14,E$4:E14)-E14&gt;=150000,"100%",IF(SUMIF(H$4:H14,"&lt;="&amp;H14,E$4:E14)-E14&gt;=50000,"90%",IF(SUMIF(H$4:H14,"&lt;="&amp;H14,E$4:E14)-E14&gt;=25000,"78%","70%")))))</f>
        <v/>
      </c>
      <c r="G14" s="10" t="str">
        <f aca="false">IF(E14="","",E14*(1-0.22)*(VALUE(SUBSTITUTE(F14,"%",""))/100))</f>
        <v/>
      </c>
      <c r="H14" s="4" t="str">
        <f aca="false">IF(B14="","",MONTH(B14))</f>
        <v/>
      </c>
      <c r="I14" s="4" t="str">
        <f aca="false">IF(B14="","","T"&amp;ROUNDUP(MONTH(B14)/3,0))</f>
        <v/>
      </c>
      <c r="J14" s="11"/>
    </row>
    <row r="15" customFormat="false" ht="15" hidden="false" customHeight="false" outlineLevel="0" collapsed="false">
      <c r="A15" s="12" t="str">
        <f aca="false">IF(E15&lt;&gt;"",ROW()-3,"")</f>
        <v/>
      </c>
      <c r="B15" s="5"/>
      <c r="C15" s="6"/>
      <c r="D15" s="7"/>
      <c r="E15" s="8"/>
      <c r="F15" s="13" t="str">
        <f aca="false">IF(E15="","",IF('🎯 Mon BFR'!B20="","70%",IF(SUMIF(H$4:H15,"&lt;="&amp;H15,E$4:E15)-E15&gt;=150000,"100%",IF(SUMIF(H$4:H15,"&lt;="&amp;H15,E$4:E15)-E15&gt;=50000,"90%",IF(SUMIF(H$4:H15,"&lt;="&amp;H15,E$4:E15)-E15&gt;=25000,"78%","70%")))))</f>
        <v/>
      </c>
      <c r="G15" s="14" t="str">
        <f aca="false">IF(E15="","",E15*(1-0.22)*(VALUE(SUBSTITUTE(F15,"%",""))/100))</f>
        <v/>
      </c>
      <c r="H15" s="12" t="str">
        <f aca="false">IF(B15="","",MONTH(B15))</f>
        <v/>
      </c>
      <c r="I15" s="12" t="str">
        <f aca="false">IF(B15="","","T"&amp;ROUNDUP(MONTH(B15)/3,0))</f>
        <v/>
      </c>
      <c r="J15" s="15"/>
    </row>
    <row r="16" customFormat="false" ht="15" hidden="false" customHeight="false" outlineLevel="0" collapsed="false">
      <c r="A16" s="4" t="str">
        <f aca="false">IF(E16&lt;&gt;"",ROW()-3,"")</f>
        <v/>
      </c>
      <c r="B16" s="5"/>
      <c r="C16" s="6"/>
      <c r="D16" s="7"/>
      <c r="E16" s="8"/>
      <c r="F16" s="9" t="str">
        <f aca="false">IF(E16="","",IF('🎯 Mon BFR'!B20="","70%",IF(SUMIF(H$4:H16,"&lt;="&amp;H16,E$4:E16)-E16&gt;=150000,"100%",IF(SUMIF(H$4:H16,"&lt;="&amp;H16,E$4:E16)-E16&gt;=50000,"90%",IF(SUMIF(H$4:H16,"&lt;="&amp;H16,E$4:E16)-E16&gt;=25000,"78%","70%")))))</f>
        <v/>
      </c>
      <c r="G16" s="10" t="str">
        <f aca="false">IF(E16="","",E16*(1-0.22)*(VALUE(SUBSTITUTE(F16,"%",""))/100))</f>
        <v/>
      </c>
      <c r="H16" s="4" t="str">
        <f aca="false">IF(B16="","",MONTH(B16))</f>
        <v/>
      </c>
      <c r="I16" s="4" t="str">
        <f aca="false">IF(B16="","","T"&amp;ROUNDUP(MONTH(B16)/3,0))</f>
        <v/>
      </c>
      <c r="J16" s="11"/>
    </row>
    <row r="17" customFormat="false" ht="15" hidden="false" customHeight="false" outlineLevel="0" collapsed="false">
      <c r="A17" s="12" t="str">
        <f aca="false">IF(E17&lt;&gt;"",ROW()-3,"")</f>
        <v/>
      </c>
      <c r="B17" s="5"/>
      <c r="C17" s="6"/>
      <c r="D17" s="7"/>
      <c r="E17" s="8"/>
      <c r="F17" s="13" t="str">
        <f aca="false">IF(E17="","",IF('🎯 Mon BFR'!B20="","70%",IF(SUMIF(H$4:H17,"&lt;="&amp;H17,E$4:E17)-E17&gt;=150000,"100%",IF(SUMIF(H$4:H17,"&lt;="&amp;H17,E$4:E17)-E17&gt;=50000,"90%",IF(SUMIF(H$4:H17,"&lt;="&amp;H17,E$4:E17)-E17&gt;=25000,"78%","70%")))))</f>
        <v/>
      </c>
      <c r="G17" s="14" t="str">
        <f aca="false">IF(E17="","",E17*(1-0.22)*(VALUE(SUBSTITUTE(F17,"%",""))/100))</f>
        <v/>
      </c>
      <c r="H17" s="12" t="str">
        <f aca="false">IF(B17="","",MONTH(B17))</f>
        <v/>
      </c>
      <c r="I17" s="12" t="str">
        <f aca="false">IF(B17="","","T"&amp;ROUNDUP(MONTH(B17)/3,0))</f>
        <v/>
      </c>
      <c r="J17" s="15"/>
    </row>
    <row r="18" customFormat="false" ht="15" hidden="false" customHeight="false" outlineLevel="0" collapsed="false">
      <c r="A18" s="4" t="str">
        <f aca="false">IF(E18&lt;&gt;"",ROW()-3,"")</f>
        <v/>
      </c>
      <c r="B18" s="5"/>
      <c r="C18" s="6"/>
      <c r="D18" s="7"/>
      <c r="E18" s="8"/>
      <c r="F18" s="9" t="str">
        <f aca="false">IF(E18="","",IF('🎯 Mon BFR'!B20="","70%",IF(SUMIF(H$4:H18,"&lt;="&amp;H18,E$4:E18)-E18&gt;=150000,"100%",IF(SUMIF(H$4:H18,"&lt;="&amp;H18,E$4:E18)-E18&gt;=50000,"90%",IF(SUMIF(H$4:H18,"&lt;="&amp;H18,E$4:E18)-E18&gt;=25000,"78%","70%")))))</f>
        <v/>
      </c>
      <c r="G18" s="10" t="str">
        <f aca="false">IF(E18="","",E18*(1-0.22)*(VALUE(SUBSTITUTE(F18,"%",""))/100))</f>
        <v/>
      </c>
      <c r="H18" s="4" t="str">
        <f aca="false">IF(B18="","",MONTH(B18))</f>
        <v/>
      </c>
      <c r="I18" s="4" t="str">
        <f aca="false">IF(B18="","","T"&amp;ROUNDUP(MONTH(B18)/3,0))</f>
        <v/>
      </c>
      <c r="J18" s="11"/>
    </row>
    <row r="19" customFormat="false" ht="15" hidden="false" customHeight="false" outlineLevel="0" collapsed="false">
      <c r="A19" s="12" t="str">
        <f aca="false">IF(E19&lt;&gt;"",ROW()-3,"")</f>
        <v/>
      </c>
      <c r="B19" s="5"/>
      <c r="C19" s="6"/>
      <c r="D19" s="7"/>
      <c r="E19" s="8"/>
      <c r="F19" s="13" t="str">
        <f aca="false">IF(E19="","",IF('🎯 Mon BFR'!B20="","70%",IF(SUMIF(H$4:H19,"&lt;="&amp;H19,E$4:E19)-E19&gt;=150000,"100%",IF(SUMIF(H$4:H19,"&lt;="&amp;H19,E$4:E19)-E19&gt;=50000,"90%",IF(SUMIF(H$4:H19,"&lt;="&amp;H19,E$4:E19)-E19&gt;=25000,"78%","70%")))))</f>
        <v/>
      </c>
      <c r="G19" s="14" t="str">
        <f aca="false">IF(E19="","",E19*(1-0.22)*(VALUE(SUBSTITUTE(F19,"%",""))/100))</f>
        <v/>
      </c>
      <c r="H19" s="12" t="str">
        <f aca="false">IF(B19="","",MONTH(B19))</f>
        <v/>
      </c>
      <c r="I19" s="12" t="str">
        <f aca="false">IF(B19="","","T"&amp;ROUNDUP(MONTH(B19)/3,0))</f>
        <v/>
      </c>
      <c r="J19" s="15"/>
    </row>
    <row r="20" customFormat="false" ht="15" hidden="false" customHeight="false" outlineLevel="0" collapsed="false">
      <c r="A20" s="4" t="str">
        <f aca="false">IF(E20&lt;&gt;"",ROW()-3,"")</f>
        <v/>
      </c>
      <c r="B20" s="5"/>
      <c r="C20" s="6"/>
      <c r="D20" s="7"/>
      <c r="E20" s="8"/>
      <c r="F20" s="9" t="str">
        <f aca="false">IF(E20="","",IF('🎯 Mon BFR'!B20="","70%",IF(SUMIF(H$4:H20,"&lt;="&amp;H20,E$4:E20)-E20&gt;=150000,"100%",IF(SUMIF(H$4:H20,"&lt;="&amp;H20,E$4:E20)-E20&gt;=50000,"90%",IF(SUMIF(H$4:H20,"&lt;="&amp;H20,E$4:E20)-E20&gt;=25000,"78%","70%")))))</f>
        <v/>
      </c>
      <c r="G20" s="10" t="str">
        <f aca="false">IF(E20="","",E20*(1-0.22)*(VALUE(SUBSTITUTE(F20,"%",""))/100))</f>
        <v/>
      </c>
      <c r="H20" s="4" t="str">
        <f aca="false">IF(B20="","",MONTH(B20))</f>
        <v/>
      </c>
      <c r="I20" s="4" t="str">
        <f aca="false">IF(B20="","","T"&amp;ROUNDUP(MONTH(B20)/3,0))</f>
        <v/>
      </c>
      <c r="J20" s="11"/>
    </row>
    <row r="21" customFormat="false" ht="15" hidden="false" customHeight="false" outlineLevel="0" collapsed="false">
      <c r="A21" s="12" t="str">
        <f aca="false">IF(E21&lt;&gt;"",ROW()-3,"")</f>
        <v/>
      </c>
      <c r="B21" s="5"/>
      <c r="C21" s="6"/>
      <c r="D21" s="7"/>
      <c r="E21" s="8"/>
      <c r="F21" s="13" t="str">
        <f aca="false">IF(E21="","",IF('🎯 Mon BFR'!B20="","70%",IF(SUMIF(H$4:H21,"&lt;="&amp;H21,E$4:E21)-E21&gt;=150000,"100%",IF(SUMIF(H$4:H21,"&lt;="&amp;H21,E$4:E21)-E21&gt;=50000,"90%",IF(SUMIF(H$4:H21,"&lt;="&amp;H21,E$4:E21)-E21&gt;=25000,"78%","70%")))))</f>
        <v/>
      </c>
      <c r="G21" s="14" t="str">
        <f aca="false">IF(E21="","",E21*(1-0.22)*(VALUE(SUBSTITUTE(F21,"%",""))/100))</f>
        <v/>
      </c>
      <c r="H21" s="12" t="str">
        <f aca="false">IF(B21="","",MONTH(B21))</f>
        <v/>
      </c>
      <c r="I21" s="12" t="str">
        <f aca="false">IF(B21="","","T"&amp;ROUNDUP(MONTH(B21)/3,0))</f>
        <v/>
      </c>
      <c r="J21" s="15"/>
    </row>
    <row r="22" customFormat="false" ht="15" hidden="false" customHeight="false" outlineLevel="0" collapsed="false">
      <c r="A22" s="4" t="str">
        <f aca="false">IF(E22&lt;&gt;"",ROW()-3,"")</f>
        <v/>
      </c>
      <c r="B22" s="5"/>
      <c r="C22" s="6"/>
      <c r="D22" s="7"/>
      <c r="E22" s="8"/>
      <c r="F22" s="9" t="str">
        <f aca="false">IF(E22="","",IF('🎯 Mon BFR'!B20="","70%",IF(SUMIF(H$4:H22,"&lt;="&amp;H22,E$4:E22)-E22&gt;=150000,"100%",IF(SUMIF(H$4:H22,"&lt;="&amp;H22,E$4:E22)-E22&gt;=50000,"90%",IF(SUMIF(H$4:H22,"&lt;="&amp;H22,E$4:E22)-E22&gt;=25000,"78%","70%")))))</f>
        <v/>
      </c>
      <c r="G22" s="10" t="str">
        <f aca="false">IF(E22="","",E22*(1-0.22)*(VALUE(SUBSTITUTE(F22,"%",""))/100))</f>
        <v/>
      </c>
      <c r="H22" s="4" t="str">
        <f aca="false">IF(B22="","",MONTH(B22))</f>
        <v/>
      </c>
      <c r="I22" s="4" t="str">
        <f aca="false">IF(B22="","","T"&amp;ROUNDUP(MONTH(B22)/3,0))</f>
        <v/>
      </c>
      <c r="J22" s="11"/>
    </row>
    <row r="23" customFormat="false" ht="15" hidden="false" customHeight="false" outlineLevel="0" collapsed="false">
      <c r="A23" s="12" t="str">
        <f aca="false">IF(E23&lt;&gt;"",ROW()-3,"")</f>
        <v/>
      </c>
      <c r="B23" s="5"/>
      <c r="C23" s="6"/>
      <c r="D23" s="7"/>
      <c r="E23" s="8"/>
      <c r="F23" s="13" t="str">
        <f aca="false">IF(E23="","",IF('🎯 Mon BFR'!B20="","70%",IF(SUMIF(H$4:H23,"&lt;="&amp;H23,E$4:E23)-E23&gt;=150000,"100%",IF(SUMIF(H$4:H23,"&lt;="&amp;H23,E$4:E23)-E23&gt;=50000,"90%",IF(SUMIF(H$4:H23,"&lt;="&amp;H23,E$4:E23)-E23&gt;=25000,"78%","70%")))))</f>
        <v/>
      </c>
      <c r="G23" s="14" t="str">
        <f aca="false">IF(E23="","",E23*(1-0.22)*(VALUE(SUBSTITUTE(F23,"%",""))/100))</f>
        <v/>
      </c>
      <c r="H23" s="12" t="str">
        <f aca="false">IF(B23="","",MONTH(B23))</f>
        <v/>
      </c>
      <c r="I23" s="12" t="str">
        <f aca="false">IF(B23="","","T"&amp;ROUNDUP(MONTH(B23)/3,0))</f>
        <v/>
      </c>
      <c r="J23" s="15"/>
    </row>
    <row r="24" customFormat="false" ht="15" hidden="false" customHeight="false" outlineLevel="0" collapsed="false">
      <c r="A24" s="4" t="str">
        <f aca="false">IF(E24&lt;&gt;"",ROW()-3,"")</f>
        <v/>
      </c>
      <c r="B24" s="5"/>
      <c r="C24" s="6"/>
      <c r="D24" s="7"/>
      <c r="E24" s="8"/>
      <c r="F24" s="9" t="str">
        <f aca="false">IF(E24="","",IF('🎯 Mon BFR'!B20="","70%",IF(SUMIF(H$4:H24,"&lt;="&amp;H24,E$4:E24)-E24&gt;=150000,"100%",IF(SUMIF(H$4:H24,"&lt;="&amp;H24,E$4:E24)-E24&gt;=50000,"90%",IF(SUMIF(H$4:H24,"&lt;="&amp;H24,E$4:E24)-E24&gt;=25000,"78%","70%")))))</f>
        <v/>
      </c>
      <c r="G24" s="10" t="str">
        <f aca="false">IF(E24="","",E24*(1-0.22)*(VALUE(SUBSTITUTE(F24,"%",""))/100))</f>
        <v/>
      </c>
      <c r="H24" s="4" t="str">
        <f aca="false">IF(B24="","",MONTH(B24))</f>
        <v/>
      </c>
      <c r="I24" s="4" t="str">
        <f aca="false">IF(B24="","","T"&amp;ROUNDUP(MONTH(B24)/3,0))</f>
        <v/>
      </c>
      <c r="J24" s="11"/>
    </row>
    <row r="25" customFormat="false" ht="15" hidden="false" customHeight="false" outlineLevel="0" collapsed="false">
      <c r="A25" s="12" t="str">
        <f aca="false">IF(E25&lt;&gt;"",ROW()-3,"")</f>
        <v/>
      </c>
      <c r="B25" s="5"/>
      <c r="C25" s="6"/>
      <c r="D25" s="7"/>
      <c r="E25" s="8"/>
      <c r="F25" s="13" t="str">
        <f aca="false">IF(E25="","",IF('🎯 Mon BFR'!B20="","70%",IF(SUMIF(H$4:H25,"&lt;="&amp;H25,E$4:E25)-E25&gt;=150000,"100%",IF(SUMIF(H$4:H25,"&lt;="&amp;H25,E$4:E25)-E25&gt;=50000,"90%",IF(SUMIF(H$4:H25,"&lt;="&amp;H25,E$4:E25)-E25&gt;=25000,"78%","70%")))))</f>
        <v/>
      </c>
      <c r="G25" s="14" t="str">
        <f aca="false">IF(E25="","",E25*(1-0.22)*(VALUE(SUBSTITUTE(F25,"%",""))/100))</f>
        <v/>
      </c>
      <c r="H25" s="12" t="str">
        <f aca="false">IF(B25="","",MONTH(B25))</f>
        <v/>
      </c>
      <c r="I25" s="12" t="str">
        <f aca="false">IF(B25="","","T"&amp;ROUNDUP(MONTH(B25)/3,0))</f>
        <v/>
      </c>
      <c r="J25" s="15"/>
    </row>
    <row r="26" customFormat="false" ht="15" hidden="false" customHeight="false" outlineLevel="0" collapsed="false">
      <c r="A26" s="4" t="str">
        <f aca="false">IF(E26&lt;&gt;"",ROW()-3,"")</f>
        <v/>
      </c>
      <c r="B26" s="5"/>
      <c r="C26" s="6"/>
      <c r="D26" s="7"/>
      <c r="E26" s="8"/>
      <c r="F26" s="9" t="str">
        <f aca="false">IF(E26="","",IF('🎯 Mon BFR'!B20="","70%",IF(SUMIF(H$4:H26,"&lt;="&amp;H26,E$4:E26)-E26&gt;=150000,"100%",IF(SUMIF(H$4:H26,"&lt;="&amp;H26,E$4:E26)-E26&gt;=50000,"90%",IF(SUMIF(H$4:H26,"&lt;="&amp;H26,E$4:E26)-E26&gt;=25000,"78%","70%")))))</f>
        <v/>
      </c>
      <c r="G26" s="10" t="str">
        <f aca="false">IF(E26="","",E26*(1-0.22)*(VALUE(SUBSTITUTE(F26,"%",""))/100))</f>
        <v/>
      </c>
      <c r="H26" s="4" t="str">
        <f aca="false">IF(B26="","",MONTH(B26))</f>
        <v/>
      </c>
      <c r="I26" s="4" t="str">
        <f aca="false">IF(B26="","","T"&amp;ROUNDUP(MONTH(B26)/3,0))</f>
        <v/>
      </c>
      <c r="J26" s="11"/>
    </row>
    <row r="27" customFormat="false" ht="15" hidden="false" customHeight="false" outlineLevel="0" collapsed="false">
      <c r="A27" s="12" t="str">
        <f aca="false">IF(E27&lt;&gt;"",ROW()-3,"")</f>
        <v/>
      </c>
      <c r="B27" s="5"/>
      <c r="C27" s="6"/>
      <c r="D27" s="7"/>
      <c r="E27" s="8"/>
      <c r="F27" s="13" t="str">
        <f aca="false">IF(E27="","",IF('🎯 Mon BFR'!B20="","70%",IF(SUMIF(H$4:H27,"&lt;="&amp;H27,E$4:E27)-E27&gt;=150000,"100%",IF(SUMIF(H$4:H27,"&lt;="&amp;H27,E$4:E27)-E27&gt;=50000,"90%",IF(SUMIF(H$4:H27,"&lt;="&amp;H27,E$4:E27)-E27&gt;=25000,"78%","70%")))))</f>
        <v/>
      </c>
      <c r="G27" s="14" t="str">
        <f aca="false">IF(E27="","",E27*(1-0.22)*(VALUE(SUBSTITUTE(F27,"%",""))/100))</f>
        <v/>
      </c>
      <c r="H27" s="12" t="str">
        <f aca="false">IF(B27="","",MONTH(B27))</f>
        <v/>
      </c>
      <c r="I27" s="12" t="str">
        <f aca="false">IF(B27="","","T"&amp;ROUNDUP(MONTH(B27)/3,0))</f>
        <v/>
      </c>
      <c r="J27" s="15"/>
    </row>
    <row r="28" customFormat="false" ht="15" hidden="false" customHeight="false" outlineLevel="0" collapsed="false">
      <c r="A28" s="4" t="str">
        <f aca="false">IF(E28&lt;&gt;"",ROW()-3,"")</f>
        <v/>
      </c>
      <c r="B28" s="5"/>
      <c r="C28" s="6"/>
      <c r="D28" s="7"/>
      <c r="E28" s="8"/>
      <c r="F28" s="9" t="str">
        <f aca="false">IF(E28="","",IF('🎯 Mon BFR'!B20="","70%",IF(SUMIF(H$4:H28,"&lt;="&amp;H28,E$4:E28)-E28&gt;=150000,"100%",IF(SUMIF(H$4:H28,"&lt;="&amp;H28,E$4:E28)-E28&gt;=50000,"90%",IF(SUMIF(H$4:H28,"&lt;="&amp;H28,E$4:E28)-E28&gt;=25000,"78%","70%")))))</f>
        <v/>
      </c>
      <c r="G28" s="10" t="str">
        <f aca="false">IF(E28="","",E28*(1-0.22)*(VALUE(SUBSTITUTE(F28,"%",""))/100))</f>
        <v/>
      </c>
      <c r="H28" s="4" t="str">
        <f aca="false">IF(B28="","",MONTH(B28))</f>
        <v/>
      </c>
      <c r="I28" s="4" t="str">
        <f aca="false">IF(B28="","","T"&amp;ROUNDUP(MONTH(B28)/3,0))</f>
        <v/>
      </c>
      <c r="J28" s="11"/>
    </row>
    <row r="29" customFormat="false" ht="15" hidden="false" customHeight="false" outlineLevel="0" collapsed="false">
      <c r="A29" s="12" t="str">
        <f aca="false">IF(E29&lt;&gt;"",ROW()-3,"")</f>
        <v/>
      </c>
      <c r="B29" s="5"/>
      <c r="C29" s="6"/>
      <c r="D29" s="7"/>
      <c r="E29" s="8"/>
      <c r="F29" s="13" t="str">
        <f aca="false">IF(E29="","",IF('🎯 Mon BFR'!B20="","70%",IF(SUMIF(H$4:H29,"&lt;="&amp;H29,E$4:E29)-E29&gt;=150000,"100%",IF(SUMIF(H$4:H29,"&lt;="&amp;H29,E$4:E29)-E29&gt;=50000,"90%",IF(SUMIF(H$4:H29,"&lt;="&amp;H29,E$4:E29)-E29&gt;=25000,"78%","70%")))))</f>
        <v/>
      </c>
      <c r="G29" s="14" t="str">
        <f aca="false">IF(E29="","",E29*(1-0.22)*(VALUE(SUBSTITUTE(F29,"%",""))/100))</f>
        <v/>
      </c>
      <c r="H29" s="12" t="str">
        <f aca="false">IF(B29="","",MONTH(B29))</f>
        <v/>
      </c>
      <c r="I29" s="12" t="str">
        <f aca="false">IF(B29="","","T"&amp;ROUNDUP(MONTH(B29)/3,0))</f>
        <v/>
      </c>
      <c r="J29" s="15"/>
    </row>
    <row r="30" customFormat="false" ht="15" hidden="false" customHeight="false" outlineLevel="0" collapsed="false">
      <c r="A30" s="4" t="str">
        <f aca="false">IF(E30&lt;&gt;"",ROW()-3,"")</f>
        <v/>
      </c>
      <c r="B30" s="5"/>
      <c r="C30" s="6"/>
      <c r="D30" s="7"/>
      <c r="E30" s="8"/>
      <c r="F30" s="9" t="str">
        <f aca="false">IF(E30="","",IF('🎯 Mon BFR'!B20="","70%",IF(SUMIF(H$4:H30,"&lt;="&amp;H30,E$4:E30)-E30&gt;=150000,"100%",IF(SUMIF(H$4:H30,"&lt;="&amp;H30,E$4:E30)-E30&gt;=50000,"90%",IF(SUMIF(H$4:H30,"&lt;="&amp;H30,E$4:E30)-E30&gt;=25000,"78%","70%")))))</f>
        <v/>
      </c>
      <c r="G30" s="10" t="str">
        <f aca="false">IF(E30="","",E30*(1-0.22)*(VALUE(SUBSTITUTE(F30,"%",""))/100))</f>
        <v/>
      </c>
      <c r="H30" s="4" t="str">
        <f aca="false">IF(B30="","",MONTH(B30))</f>
        <v/>
      </c>
      <c r="I30" s="4" t="str">
        <f aca="false">IF(B30="","","T"&amp;ROUNDUP(MONTH(B30)/3,0))</f>
        <v/>
      </c>
      <c r="J30" s="11"/>
    </row>
    <row r="31" customFormat="false" ht="15" hidden="false" customHeight="false" outlineLevel="0" collapsed="false">
      <c r="A31" s="12" t="str">
        <f aca="false">IF(E31&lt;&gt;"",ROW()-3,"")</f>
        <v/>
      </c>
      <c r="B31" s="5"/>
      <c r="C31" s="6"/>
      <c r="D31" s="7"/>
      <c r="E31" s="8"/>
      <c r="F31" s="13" t="str">
        <f aca="false">IF(E31="","",IF('🎯 Mon BFR'!B20="","70%",IF(SUMIF(H$4:H31,"&lt;="&amp;H31,E$4:E31)-E31&gt;=150000,"100%",IF(SUMIF(H$4:H31,"&lt;="&amp;H31,E$4:E31)-E31&gt;=50000,"90%",IF(SUMIF(H$4:H31,"&lt;="&amp;H31,E$4:E31)-E31&gt;=25000,"78%","70%")))))</f>
        <v/>
      </c>
      <c r="G31" s="14" t="str">
        <f aca="false">IF(E31="","",E31*(1-0.22)*(VALUE(SUBSTITUTE(F31,"%",""))/100))</f>
        <v/>
      </c>
      <c r="H31" s="12" t="str">
        <f aca="false">IF(B31="","",MONTH(B31))</f>
        <v/>
      </c>
      <c r="I31" s="12" t="str">
        <f aca="false">IF(B31="","","T"&amp;ROUNDUP(MONTH(B31)/3,0))</f>
        <v/>
      </c>
      <c r="J31" s="15"/>
    </row>
    <row r="32" customFormat="false" ht="15" hidden="false" customHeight="false" outlineLevel="0" collapsed="false">
      <c r="A32" s="4" t="str">
        <f aca="false">IF(E32&lt;&gt;"",ROW()-3,"")</f>
        <v/>
      </c>
      <c r="B32" s="5"/>
      <c r="C32" s="6"/>
      <c r="D32" s="7"/>
      <c r="E32" s="8"/>
      <c r="F32" s="9" t="str">
        <f aca="false">IF(E32="","",IF('🎯 Mon BFR'!B20="","70%",IF(SUMIF(H$4:H32,"&lt;="&amp;H32,E$4:E32)-E32&gt;=150000,"100%",IF(SUMIF(H$4:H32,"&lt;="&amp;H32,E$4:E32)-E32&gt;=50000,"90%",IF(SUMIF(H$4:H32,"&lt;="&amp;H32,E$4:E32)-E32&gt;=25000,"78%","70%")))))</f>
        <v/>
      </c>
      <c r="G32" s="10" t="str">
        <f aca="false">IF(E32="","",E32*(1-0.22)*(VALUE(SUBSTITUTE(F32,"%",""))/100))</f>
        <v/>
      </c>
      <c r="H32" s="4" t="str">
        <f aca="false">IF(B32="","",MONTH(B32))</f>
        <v/>
      </c>
      <c r="I32" s="4" t="str">
        <f aca="false">IF(B32="","","T"&amp;ROUNDUP(MONTH(B32)/3,0))</f>
        <v/>
      </c>
      <c r="J32" s="11"/>
    </row>
    <row r="33" customFormat="false" ht="15" hidden="false" customHeight="false" outlineLevel="0" collapsed="false">
      <c r="A33" s="12" t="str">
        <f aca="false">IF(E33&lt;&gt;"",ROW()-3,"")</f>
        <v/>
      </c>
      <c r="B33" s="5"/>
      <c r="C33" s="6"/>
      <c r="D33" s="7"/>
      <c r="E33" s="8"/>
      <c r="F33" s="13" t="str">
        <f aca="false">IF(E33="","",IF('🎯 Mon BFR'!B20="","70%",IF(SUMIF(H$4:H33,"&lt;="&amp;H33,E$4:E33)-E33&gt;=150000,"100%",IF(SUMIF(H$4:H33,"&lt;="&amp;H33,E$4:E33)-E33&gt;=50000,"90%",IF(SUMIF(H$4:H33,"&lt;="&amp;H33,E$4:E33)-E33&gt;=25000,"78%","70%")))))</f>
        <v/>
      </c>
      <c r="G33" s="14" t="str">
        <f aca="false">IF(E33="","",E33*(1-0.22)*(VALUE(SUBSTITUTE(F33,"%",""))/100))</f>
        <v/>
      </c>
      <c r="H33" s="12" t="str">
        <f aca="false">IF(B33="","",MONTH(B33))</f>
        <v/>
      </c>
      <c r="I33" s="12" t="str">
        <f aca="false">IF(B33="","","T"&amp;ROUNDUP(MONTH(B33)/3,0))</f>
        <v/>
      </c>
      <c r="J33" s="15"/>
    </row>
    <row r="34" customFormat="false" ht="15" hidden="false" customHeight="false" outlineLevel="0" collapsed="false">
      <c r="A34" s="4" t="str">
        <f aca="false">IF(E34&lt;&gt;"",ROW()-3,"")</f>
        <v/>
      </c>
      <c r="B34" s="5"/>
      <c r="C34" s="6"/>
      <c r="D34" s="7"/>
      <c r="E34" s="8"/>
      <c r="F34" s="9" t="str">
        <f aca="false">IF(E34="","",IF('🎯 Mon BFR'!B20="","70%",IF(SUMIF(H$4:H34,"&lt;="&amp;H34,E$4:E34)-E34&gt;=150000,"100%",IF(SUMIF(H$4:H34,"&lt;="&amp;H34,E$4:E34)-E34&gt;=50000,"90%",IF(SUMIF(H$4:H34,"&lt;="&amp;H34,E$4:E34)-E34&gt;=25000,"78%","70%")))))</f>
        <v/>
      </c>
      <c r="G34" s="10" t="str">
        <f aca="false">IF(E34="","",E34*(1-0.22)*(VALUE(SUBSTITUTE(F34,"%",""))/100))</f>
        <v/>
      </c>
      <c r="H34" s="4" t="str">
        <f aca="false">IF(B34="","",MONTH(B34))</f>
        <v/>
      </c>
      <c r="I34" s="4" t="str">
        <f aca="false">IF(B34="","","T"&amp;ROUNDUP(MONTH(B34)/3,0))</f>
        <v/>
      </c>
      <c r="J34" s="11"/>
    </row>
    <row r="35" customFormat="false" ht="15" hidden="false" customHeight="false" outlineLevel="0" collapsed="false">
      <c r="A35" s="12" t="str">
        <f aca="false">IF(E35&lt;&gt;"",ROW()-3,"")</f>
        <v/>
      </c>
      <c r="B35" s="5"/>
      <c r="C35" s="6"/>
      <c r="D35" s="7"/>
      <c r="E35" s="8"/>
      <c r="F35" s="13" t="str">
        <f aca="false">IF(E35="","",IF('🎯 Mon BFR'!B20="","70%",IF(SUMIF(H$4:H35,"&lt;="&amp;H35,E$4:E35)-E35&gt;=150000,"100%",IF(SUMIF(H$4:H35,"&lt;="&amp;H35,E$4:E35)-E35&gt;=50000,"90%",IF(SUMIF(H$4:H35,"&lt;="&amp;H35,E$4:E35)-E35&gt;=25000,"78%","70%")))))</f>
        <v/>
      </c>
      <c r="G35" s="14" t="str">
        <f aca="false">IF(E35="","",E35*(1-0.22)*(VALUE(SUBSTITUTE(F35,"%",""))/100))</f>
        <v/>
      </c>
      <c r="H35" s="12" t="str">
        <f aca="false">IF(B35="","",MONTH(B35))</f>
        <v/>
      </c>
      <c r="I35" s="12" t="str">
        <f aca="false">IF(B35="","","T"&amp;ROUNDUP(MONTH(B35)/3,0))</f>
        <v/>
      </c>
      <c r="J35" s="15"/>
    </row>
    <row r="36" customFormat="false" ht="15" hidden="false" customHeight="false" outlineLevel="0" collapsed="false">
      <c r="A36" s="4" t="str">
        <f aca="false">IF(E36&lt;&gt;"",ROW()-3,"")</f>
        <v/>
      </c>
      <c r="B36" s="5"/>
      <c r="C36" s="6"/>
      <c r="D36" s="7"/>
      <c r="E36" s="8"/>
      <c r="F36" s="9" t="str">
        <f aca="false">IF(E36="","",IF('🎯 Mon BFR'!B20="","70%",IF(SUMIF(H$4:H36,"&lt;="&amp;H36,E$4:E36)-E36&gt;=150000,"100%",IF(SUMIF(H$4:H36,"&lt;="&amp;H36,E$4:E36)-E36&gt;=50000,"90%",IF(SUMIF(H$4:H36,"&lt;="&amp;H36,E$4:E36)-E36&gt;=25000,"78%","70%")))))</f>
        <v/>
      </c>
      <c r="G36" s="10" t="str">
        <f aca="false">IF(E36="","",E36*(1-0.22)*(VALUE(SUBSTITUTE(F36,"%",""))/100))</f>
        <v/>
      </c>
      <c r="H36" s="4" t="str">
        <f aca="false">IF(B36="","",MONTH(B36))</f>
        <v/>
      </c>
      <c r="I36" s="4" t="str">
        <f aca="false">IF(B36="","","T"&amp;ROUNDUP(MONTH(B36)/3,0))</f>
        <v/>
      </c>
      <c r="J36" s="11"/>
    </row>
    <row r="37" customFormat="false" ht="15" hidden="false" customHeight="false" outlineLevel="0" collapsed="false">
      <c r="A37" s="12" t="str">
        <f aca="false">IF(E37&lt;&gt;"",ROW()-3,"")</f>
        <v/>
      </c>
      <c r="B37" s="5"/>
      <c r="C37" s="6"/>
      <c r="D37" s="7"/>
      <c r="E37" s="8"/>
      <c r="F37" s="13" t="str">
        <f aca="false">IF(E37="","",IF('🎯 Mon BFR'!B20="","70%",IF(SUMIF(H$4:H37,"&lt;="&amp;H37,E$4:E37)-E37&gt;=150000,"100%",IF(SUMIF(H$4:H37,"&lt;="&amp;H37,E$4:E37)-E37&gt;=50000,"90%",IF(SUMIF(H$4:H37,"&lt;="&amp;H37,E$4:E37)-E37&gt;=25000,"78%","70%")))))</f>
        <v/>
      </c>
      <c r="G37" s="14" t="str">
        <f aca="false">IF(E37="","",E37*(1-0.22)*(VALUE(SUBSTITUTE(F37,"%",""))/100))</f>
        <v/>
      </c>
      <c r="H37" s="12" t="str">
        <f aca="false">IF(B37="","",MONTH(B37))</f>
        <v/>
      </c>
      <c r="I37" s="12" t="str">
        <f aca="false">IF(B37="","","T"&amp;ROUNDUP(MONTH(B37)/3,0))</f>
        <v/>
      </c>
      <c r="J37" s="15"/>
    </row>
    <row r="38" customFormat="false" ht="15" hidden="false" customHeight="false" outlineLevel="0" collapsed="false">
      <c r="A38" s="4" t="str">
        <f aca="false">IF(E38&lt;&gt;"",ROW()-3,"")</f>
        <v/>
      </c>
      <c r="B38" s="5"/>
      <c r="C38" s="6"/>
      <c r="D38" s="7"/>
      <c r="E38" s="8"/>
      <c r="F38" s="9" t="str">
        <f aca="false">IF(E38="","",IF('🎯 Mon BFR'!B20="","70%",IF(SUMIF(H$4:H38,"&lt;="&amp;H38,E$4:E38)-E38&gt;=150000,"100%",IF(SUMIF(H$4:H38,"&lt;="&amp;H38,E$4:E38)-E38&gt;=50000,"90%",IF(SUMIF(H$4:H38,"&lt;="&amp;H38,E$4:E38)-E38&gt;=25000,"78%","70%")))))</f>
        <v/>
      </c>
      <c r="G38" s="10" t="str">
        <f aca="false">IF(E38="","",E38*(1-0.22)*(VALUE(SUBSTITUTE(F38,"%",""))/100))</f>
        <v/>
      </c>
      <c r="H38" s="4" t="str">
        <f aca="false">IF(B38="","",MONTH(B38))</f>
        <v/>
      </c>
      <c r="I38" s="4" t="str">
        <f aca="false">IF(B38="","","T"&amp;ROUNDUP(MONTH(B38)/3,0))</f>
        <v/>
      </c>
      <c r="J38" s="11"/>
    </row>
    <row r="39" customFormat="false" ht="15" hidden="false" customHeight="false" outlineLevel="0" collapsed="false">
      <c r="A39" s="12" t="str">
        <f aca="false">IF(E39&lt;&gt;"",ROW()-3,"")</f>
        <v/>
      </c>
      <c r="B39" s="5"/>
      <c r="C39" s="6"/>
      <c r="D39" s="7"/>
      <c r="E39" s="8"/>
      <c r="F39" s="13" t="str">
        <f aca="false">IF(E39="","",IF('🎯 Mon BFR'!B20="","70%",IF(SUMIF(H$4:H39,"&lt;="&amp;H39,E$4:E39)-E39&gt;=150000,"100%",IF(SUMIF(H$4:H39,"&lt;="&amp;H39,E$4:E39)-E39&gt;=50000,"90%",IF(SUMIF(H$4:H39,"&lt;="&amp;H39,E$4:E39)-E39&gt;=25000,"78%","70%")))))</f>
        <v/>
      </c>
      <c r="G39" s="14" t="str">
        <f aca="false">IF(E39="","",E39*(1-0.22)*(VALUE(SUBSTITUTE(F39,"%",""))/100))</f>
        <v/>
      </c>
      <c r="H39" s="12" t="str">
        <f aca="false">IF(B39="","",MONTH(B39))</f>
        <v/>
      </c>
      <c r="I39" s="12" t="str">
        <f aca="false">IF(B39="","","T"&amp;ROUNDUP(MONTH(B39)/3,0))</f>
        <v/>
      </c>
      <c r="J39" s="15"/>
    </row>
    <row r="40" customFormat="false" ht="15" hidden="false" customHeight="false" outlineLevel="0" collapsed="false">
      <c r="A40" s="4" t="str">
        <f aca="false">IF(E40&lt;&gt;"",ROW()-3,"")</f>
        <v/>
      </c>
      <c r="B40" s="5"/>
      <c r="C40" s="6"/>
      <c r="D40" s="7"/>
      <c r="E40" s="8"/>
      <c r="F40" s="9" t="str">
        <f aca="false">IF(E40="","",IF('🎯 Mon BFR'!B20="","70%",IF(SUMIF(H$4:H40,"&lt;="&amp;H40,E$4:E40)-E40&gt;=150000,"100%",IF(SUMIF(H$4:H40,"&lt;="&amp;H40,E$4:E40)-E40&gt;=50000,"90%",IF(SUMIF(H$4:H40,"&lt;="&amp;H40,E$4:E40)-E40&gt;=25000,"78%","70%")))))</f>
        <v/>
      </c>
      <c r="G40" s="10" t="str">
        <f aca="false">IF(E40="","",E40*(1-0.22)*(VALUE(SUBSTITUTE(F40,"%",""))/100))</f>
        <v/>
      </c>
      <c r="H40" s="4" t="str">
        <f aca="false">IF(B40="","",MONTH(B40))</f>
        <v/>
      </c>
      <c r="I40" s="4" t="str">
        <f aca="false">IF(B40="","","T"&amp;ROUNDUP(MONTH(B40)/3,0))</f>
        <v/>
      </c>
      <c r="J40" s="11"/>
    </row>
    <row r="41" customFormat="false" ht="15" hidden="false" customHeight="false" outlineLevel="0" collapsed="false">
      <c r="A41" s="12" t="str">
        <f aca="false">IF(E41&lt;&gt;"",ROW()-3,"")</f>
        <v/>
      </c>
      <c r="B41" s="5"/>
      <c r="C41" s="6"/>
      <c r="D41" s="7"/>
      <c r="E41" s="8"/>
      <c r="F41" s="13" t="str">
        <f aca="false">IF(E41="","",IF('🎯 Mon BFR'!B20="","70%",IF(SUMIF(H$4:H41,"&lt;="&amp;H41,E$4:E41)-E41&gt;=150000,"100%",IF(SUMIF(H$4:H41,"&lt;="&amp;H41,E$4:E41)-E41&gt;=50000,"90%",IF(SUMIF(H$4:H41,"&lt;="&amp;H41,E$4:E41)-E41&gt;=25000,"78%","70%")))))</f>
        <v/>
      </c>
      <c r="G41" s="14" t="str">
        <f aca="false">IF(E41="","",E41*(1-0.22)*(VALUE(SUBSTITUTE(F41,"%",""))/100))</f>
        <v/>
      </c>
      <c r="H41" s="12" t="str">
        <f aca="false">IF(B41="","",MONTH(B41))</f>
        <v/>
      </c>
      <c r="I41" s="12" t="str">
        <f aca="false">IF(B41="","","T"&amp;ROUNDUP(MONTH(B41)/3,0))</f>
        <v/>
      </c>
      <c r="J41" s="15"/>
    </row>
    <row r="42" customFormat="false" ht="15" hidden="false" customHeight="false" outlineLevel="0" collapsed="false">
      <c r="A42" s="4" t="str">
        <f aca="false">IF(E42&lt;&gt;"",ROW()-3,"")</f>
        <v/>
      </c>
      <c r="B42" s="5"/>
      <c r="C42" s="6"/>
      <c r="D42" s="7"/>
      <c r="E42" s="8"/>
      <c r="F42" s="9" t="str">
        <f aca="false">IF(E42="","",IF('🎯 Mon BFR'!B20="","70%",IF(SUMIF(H$4:H42,"&lt;="&amp;H42,E$4:E42)-E42&gt;=150000,"100%",IF(SUMIF(H$4:H42,"&lt;="&amp;H42,E$4:E42)-E42&gt;=50000,"90%",IF(SUMIF(H$4:H42,"&lt;="&amp;H42,E$4:E42)-E42&gt;=25000,"78%","70%")))))</f>
        <v/>
      </c>
      <c r="G42" s="10" t="str">
        <f aca="false">IF(E42="","",E42*(1-0.22)*(VALUE(SUBSTITUTE(F42,"%",""))/100))</f>
        <v/>
      </c>
      <c r="H42" s="4" t="str">
        <f aca="false">IF(B42="","",MONTH(B42))</f>
        <v/>
      </c>
      <c r="I42" s="4" t="str">
        <f aca="false">IF(B42="","","T"&amp;ROUNDUP(MONTH(B42)/3,0))</f>
        <v/>
      </c>
      <c r="J42" s="11"/>
    </row>
    <row r="43" customFormat="false" ht="15" hidden="false" customHeight="false" outlineLevel="0" collapsed="false">
      <c r="A43" s="12" t="str">
        <f aca="false">IF(E43&lt;&gt;"",ROW()-3,"")</f>
        <v/>
      </c>
      <c r="B43" s="5"/>
      <c r="C43" s="6"/>
      <c r="D43" s="7"/>
      <c r="E43" s="8"/>
      <c r="F43" s="13" t="str">
        <f aca="false">IF(E43="","",IF('🎯 Mon BFR'!B20="","70%",IF(SUMIF(H$4:H43,"&lt;="&amp;H43,E$4:E43)-E43&gt;=150000,"100%",IF(SUMIF(H$4:H43,"&lt;="&amp;H43,E$4:E43)-E43&gt;=50000,"90%",IF(SUMIF(H$4:H43,"&lt;="&amp;H43,E$4:E43)-E43&gt;=25000,"78%","70%")))))</f>
        <v/>
      </c>
      <c r="G43" s="14" t="str">
        <f aca="false">IF(E43="","",E43*(1-0.22)*(VALUE(SUBSTITUTE(F43,"%",""))/100))</f>
        <v/>
      </c>
      <c r="H43" s="12" t="str">
        <f aca="false">IF(B43="","",MONTH(B43))</f>
        <v/>
      </c>
      <c r="I43" s="12" t="str">
        <f aca="false">IF(B43="","","T"&amp;ROUNDUP(MONTH(B43)/3,0))</f>
        <v/>
      </c>
      <c r="J43" s="15"/>
    </row>
    <row r="44" customFormat="false" ht="15" hidden="false" customHeight="false" outlineLevel="0" collapsed="false">
      <c r="A44" s="4" t="str">
        <f aca="false">IF(E44&lt;&gt;"",ROW()-3,"")</f>
        <v/>
      </c>
      <c r="B44" s="5"/>
      <c r="C44" s="6"/>
      <c r="D44" s="7"/>
      <c r="E44" s="8"/>
      <c r="F44" s="9" t="str">
        <f aca="false">IF(E44="","",IF('🎯 Mon BFR'!B20="","70%",IF(SUMIF(H$4:H44,"&lt;="&amp;H44,E$4:E44)-E44&gt;=150000,"100%",IF(SUMIF(H$4:H44,"&lt;="&amp;H44,E$4:E44)-E44&gt;=50000,"90%",IF(SUMIF(H$4:H44,"&lt;="&amp;H44,E$4:E44)-E44&gt;=25000,"78%","70%")))))</f>
        <v/>
      </c>
      <c r="G44" s="10" t="str">
        <f aca="false">IF(E44="","",E44*(1-0.22)*(VALUE(SUBSTITUTE(F44,"%",""))/100))</f>
        <v/>
      </c>
      <c r="H44" s="4" t="str">
        <f aca="false">IF(B44="","",MONTH(B44))</f>
        <v/>
      </c>
      <c r="I44" s="4" t="str">
        <f aca="false">IF(B44="","","T"&amp;ROUNDUP(MONTH(B44)/3,0))</f>
        <v/>
      </c>
      <c r="J44" s="11"/>
    </row>
    <row r="45" customFormat="false" ht="15" hidden="false" customHeight="false" outlineLevel="0" collapsed="false">
      <c r="A45" s="12" t="str">
        <f aca="false">IF(E45&lt;&gt;"",ROW()-3,"")</f>
        <v/>
      </c>
      <c r="B45" s="5"/>
      <c r="C45" s="6"/>
      <c r="D45" s="7"/>
      <c r="E45" s="8"/>
      <c r="F45" s="13" t="str">
        <f aca="false">IF(E45="","",IF('🎯 Mon BFR'!B20="","70%",IF(SUMIF(H$4:H45,"&lt;="&amp;H45,E$4:E45)-E45&gt;=150000,"100%",IF(SUMIF(H$4:H45,"&lt;="&amp;H45,E$4:E45)-E45&gt;=50000,"90%",IF(SUMIF(H$4:H45,"&lt;="&amp;H45,E$4:E45)-E45&gt;=25000,"78%","70%")))))</f>
        <v/>
      </c>
      <c r="G45" s="14" t="str">
        <f aca="false">IF(E45="","",E45*(1-0.22)*(VALUE(SUBSTITUTE(F45,"%",""))/100))</f>
        <v/>
      </c>
      <c r="H45" s="12" t="str">
        <f aca="false">IF(B45="","",MONTH(B45))</f>
        <v/>
      </c>
      <c r="I45" s="12" t="str">
        <f aca="false">IF(B45="","","T"&amp;ROUNDUP(MONTH(B45)/3,0))</f>
        <v/>
      </c>
      <c r="J45" s="15"/>
    </row>
    <row r="46" customFormat="false" ht="15" hidden="false" customHeight="false" outlineLevel="0" collapsed="false">
      <c r="A46" s="4" t="str">
        <f aca="false">IF(E46&lt;&gt;"",ROW()-3,"")</f>
        <v/>
      </c>
      <c r="B46" s="5"/>
      <c r="C46" s="6"/>
      <c r="D46" s="7"/>
      <c r="E46" s="8"/>
      <c r="F46" s="9" t="str">
        <f aca="false">IF(E46="","",IF('🎯 Mon BFR'!B20="","70%",IF(SUMIF(H$4:H46,"&lt;="&amp;H46,E$4:E46)-E46&gt;=150000,"100%",IF(SUMIF(H$4:H46,"&lt;="&amp;H46,E$4:E46)-E46&gt;=50000,"90%",IF(SUMIF(H$4:H46,"&lt;="&amp;H46,E$4:E46)-E46&gt;=25000,"78%","70%")))))</f>
        <v/>
      </c>
      <c r="G46" s="10" t="str">
        <f aca="false">IF(E46="","",E46*(1-0.22)*(VALUE(SUBSTITUTE(F46,"%",""))/100))</f>
        <v/>
      </c>
      <c r="H46" s="4" t="str">
        <f aca="false">IF(B46="","",MONTH(B46))</f>
        <v/>
      </c>
      <c r="I46" s="4" t="str">
        <f aca="false">IF(B46="","","T"&amp;ROUNDUP(MONTH(B46)/3,0))</f>
        <v/>
      </c>
      <c r="J46" s="11"/>
    </row>
    <row r="47" customFormat="false" ht="15" hidden="false" customHeight="false" outlineLevel="0" collapsed="false">
      <c r="A47" s="12" t="str">
        <f aca="false">IF(E47&lt;&gt;"",ROW()-3,"")</f>
        <v/>
      </c>
      <c r="B47" s="5"/>
      <c r="C47" s="6"/>
      <c r="D47" s="7"/>
      <c r="E47" s="8"/>
      <c r="F47" s="13" t="str">
        <f aca="false">IF(E47="","",IF('🎯 Mon BFR'!B20="","70%",IF(SUMIF(H$4:H47,"&lt;="&amp;H47,E$4:E47)-E47&gt;=150000,"100%",IF(SUMIF(H$4:H47,"&lt;="&amp;H47,E$4:E47)-E47&gt;=50000,"90%",IF(SUMIF(H$4:H47,"&lt;="&amp;H47,E$4:E47)-E47&gt;=25000,"78%","70%")))))</f>
        <v/>
      </c>
      <c r="G47" s="14" t="str">
        <f aca="false">IF(E47="","",E47*(1-0.22)*(VALUE(SUBSTITUTE(F47,"%",""))/100))</f>
        <v/>
      </c>
      <c r="H47" s="12" t="str">
        <f aca="false">IF(B47="","",MONTH(B47))</f>
        <v/>
      </c>
      <c r="I47" s="12" t="str">
        <f aca="false">IF(B47="","","T"&amp;ROUNDUP(MONTH(B47)/3,0))</f>
        <v/>
      </c>
      <c r="J47" s="15"/>
    </row>
    <row r="48" customFormat="false" ht="15" hidden="false" customHeight="false" outlineLevel="0" collapsed="false">
      <c r="A48" s="4" t="str">
        <f aca="false">IF(E48&lt;&gt;"",ROW()-3,"")</f>
        <v/>
      </c>
      <c r="B48" s="5"/>
      <c r="C48" s="6"/>
      <c r="D48" s="7"/>
      <c r="E48" s="8"/>
      <c r="F48" s="9" t="str">
        <f aca="false">IF(E48="","",IF('🎯 Mon BFR'!B20="","70%",IF(SUMIF(H$4:H48,"&lt;="&amp;H48,E$4:E48)-E48&gt;=150000,"100%",IF(SUMIF(H$4:H48,"&lt;="&amp;H48,E$4:E48)-E48&gt;=50000,"90%",IF(SUMIF(H$4:H48,"&lt;="&amp;H48,E$4:E48)-E48&gt;=25000,"78%","70%")))))</f>
        <v/>
      </c>
      <c r="G48" s="10" t="str">
        <f aca="false">IF(E48="","",E48*(1-0.22)*(VALUE(SUBSTITUTE(F48,"%",""))/100))</f>
        <v/>
      </c>
      <c r="H48" s="4" t="str">
        <f aca="false">IF(B48="","",MONTH(B48))</f>
        <v/>
      </c>
      <c r="I48" s="4" t="str">
        <f aca="false">IF(B48="","","T"&amp;ROUNDUP(MONTH(B48)/3,0))</f>
        <v/>
      </c>
      <c r="J48" s="11"/>
    </row>
    <row r="49" customFormat="false" ht="15" hidden="false" customHeight="false" outlineLevel="0" collapsed="false">
      <c r="A49" s="12" t="str">
        <f aca="false">IF(E49&lt;&gt;"",ROW()-3,"")</f>
        <v/>
      </c>
      <c r="B49" s="5"/>
      <c r="C49" s="6"/>
      <c r="D49" s="7"/>
      <c r="E49" s="8"/>
      <c r="F49" s="13" t="str">
        <f aca="false">IF(E49="","",IF('🎯 Mon BFR'!B20="","70%",IF(SUMIF(H$4:H49,"&lt;="&amp;H49,E$4:E49)-E49&gt;=150000,"100%",IF(SUMIF(H$4:H49,"&lt;="&amp;H49,E$4:E49)-E49&gt;=50000,"90%",IF(SUMIF(H$4:H49,"&lt;="&amp;H49,E$4:E49)-E49&gt;=25000,"78%","70%")))))</f>
        <v/>
      </c>
      <c r="G49" s="14" t="str">
        <f aca="false">IF(E49="","",E49*(1-0.22)*(VALUE(SUBSTITUTE(F49,"%",""))/100))</f>
        <v/>
      </c>
      <c r="H49" s="12" t="str">
        <f aca="false">IF(B49="","",MONTH(B49))</f>
        <v/>
      </c>
      <c r="I49" s="12" t="str">
        <f aca="false">IF(B49="","","T"&amp;ROUNDUP(MONTH(B49)/3,0))</f>
        <v/>
      </c>
      <c r="J49" s="15"/>
    </row>
    <row r="50" customFormat="false" ht="15" hidden="false" customHeight="false" outlineLevel="0" collapsed="false">
      <c r="A50" s="4" t="str">
        <f aca="false">IF(E50&lt;&gt;"",ROW()-3,"")</f>
        <v/>
      </c>
      <c r="B50" s="5"/>
      <c r="C50" s="6"/>
      <c r="D50" s="7"/>
      <c r="E50" s="8"/>
      <c r="F50" s="9" t="str">
        <f aca="false">IF(E50="","",IF('🎯 Mon BFR'!B20="","70%",IF(SUMIF(H$4:H50,"&lt;="&amp;H50,E$4:E50)-E50&gt;=150000,"100%",IF(SUMIF(H$4:H50,"&lt;="&amp;H50,E$4:E50)-E50&gt;=50000,"90%",IF(SUMIF(H$4:H50,"&lt;="&amp;H50,E$4:E50)-E50&gt;=25000,"78%","70%")))))</f>
        <v/>
      </c>
      <c r="G50" s="10" t="str">
        <f aca="false">IF(E50="","",E50*(1-0.22)*(VALUE(SUBSTITUTE(F50,"%",""))/100))</f>
        <v/>
      </c>
      <c r="H50" s="4" t="str">
        <f aca="false">IF(B50="","",MONTH(B50))</f>
        <v/>
      </c>
      <c r="I50" s="4" t="str">
        <f aca="false">IF(B50="","","T"&amp;ROUNDUP(MONTH(B50)/3,0))</f>
        <v/>
      </c>
      <c r="J50" s="11"/>
    </row>
    <row r="51" customFormat="false" ht="15" hidden="false" customHeight="false" outlineLevel="0" collapsed="false">
      <c r="A51" s="12" t="str">
        <f aca="false">IF(E51&lt;&gt;"",ROW()-3,"")</f>
        <v/>
      </c>
      <c r="B51" s="5"/>
      <c r="C51" s="6"/>
      <c r="D51" s="7"/>
      <c r="E51" s="8"/>
      <c r="F51" s="13" t="str">
        <f aca="false">IF(E51="","",IF('🎯 Mon BFR'!B20="","70%",IF(SUMIF(H$4:H51,"&lt;="&amp;H51,E$4:E51)-E51&gt;=150000,"100%",IF(SUMIF(H$4:H51,"&lt;="&amp;H51,E$4:E51)-E51&gt;=50000,"90%",IF(SUMIF(H$4:H51,"&lt;="&amp;H51,E$4:E51)-E51&gt;=25000,"78%","70%")))))</f>
        <v/>
      </c>
      <c r="G51" s="14" t="str">
        <f aca="false">IF(E51="","",E51*(1-0.22)*(VALUE(SUBSTITUTE(F51,"%",""))/100))</f>
        <v/>
      </c>
      <c r="H51" s="12" t="str">
        <f aca="false">IF(B51="","",MONTH(B51))</f>
        <v/>
      </c>
      <c r="I51" s="12" t="str">
        <f aca="false">IF(B51="","","T"&amp;ROUNDUP(MONTH(B51)/3,0))</f>
        <v/>
      </c>
      <c r="J51" s="15"/>
    </row>
    <row r="52" customFormat="false" ht="15" hidden="false" customHeight="false" outlineLevel="0" collapsed="false">
      <c r="A52" s="4" t="str">
        <f aca="false">IF(E52&lt;&gt;"",ROW()-3,"")</f>
        <v/>
      </c>
      <c r="B52" s="5"/>
      <c r="C52" s="6"/>
      <c r="D52" s="7"/>
      <c r="E52" s="8"/>
      <c r="F52" s="9" t="str">
        <f aca="false">IF(E52="","",IF('🎯 Mon BFR'!B20="","70%",IF(SUMIF(H$4:H52,"&lt;="&amp;H52,E$4:E52)-E52&gt;=150000,"100%",IF(SUMIF(H$4:H52,"&lt;="&amp;H52,E$4:E52)-E52&gt;=50000,"90%",IF(SUMIF(H$4:H52,"&lt;="&amp;H52,E$4:E52)-E52&gt;=25000,"78%","70%")))))</f>
        <v/>
      </c>
      <c r="G52" s="10" t="str">
        <f aca="false">IF(E52="","",E52*(1-0.22)*(VALUE(SUBSTITUTE(F52,"%",""))/100))</f>
        <v/>
      </c>
      <c r="H52" s="4" t="str">
        <f aca="false">IF(B52="","",MONTH(B52))</f>
        <v/>
      </c>
      <c r="I52" s="4" t="str">
        <f aca="false">IF(B52="","","T"&amp;ROUNDUP(MONTH(B52)/3,0))</f>
        <v/>
      </c>
      <c r="J52" s="11"/>
    </row>
    <row r="53" customFormat="false" ht="15" hidden="false" customHeight="false" outlineLevel="0" collapsed="false">
      <c r="A53" s="12" t="str">
        <f aca="false">IF(E53&lt;&gt;"",ROW()-3,"")</f>
        <v/>
      </c>
      <c r="B53" s="5"/>
      <c r="C53" s="6"/>
      <c r="D53" s="7"/>
      <c r="E53" s="8"/>
      <c r="F53" s="13" t="str">
        <f aca="false">IF(E53="","",IF('🎯 Mon BFR'!B20="","70%",IF(SUMIF(H$4:H53,"&lt;="&amp;H53,E$4:E53)-E53&gt;=150000,"100%",IF(SUMIF(H$4:H53,"&lt;="&amp;H53,E$4:E53)-E53&gt;=50000,"90%",IF(SUMIF(H$4:H53,"&lt;="&amp;H53,E$4:E53)-E53&gt;=25000,"78%","70%")))))</f>
        <v/>
      </c>
      <c r="G53" s="14" t="str">
        <f aca="false">IF(E53="","",E53*(1-0.22)*(VALUE(SUBSTITUTE(F53,"%",""))/100))</f>
        <v/>
      </c>
      <c r="H53" s="12" t="str">
        <f aca="false">IF(B53="","",MONTH(B53))</f>
        <v/>
      </c>
      <c r="I53" s="12" t="str">
        <f aca="false">IF(B53="","","T"&amp;ROUNDUP(MONTH(B53)/3,0))</f>
        <v/>
      </c>
      <c r="J53" s="15"/>
    </row>
    <row r="54" customFormat="false" ht="15" hidden="false" customHeight="false" outlineLevel="0" collapsed="false">
      <c r="A54" s="16" t="s">
        <v>12</v>
      </c>
      <c r="B54" s="16"/>
      <c r="C54" s="16"/>
      <c r="D54" s="16"/>
      <c r="E54" s="17" t="n">
        <f aca="false">SUM(E4:E53)</f>
        <v>0</v>
      </c>
      <c r="G54" s="17" t="n">
        <f aca="false">SUM(G4:G53)</f>
        <v>0</v>
      </c>
    </row>
  </sheetData>
  <mergeCells count="3">
    <mergeCell ref="A1:J1"/>
    <mergeCell ref="A2:J2"/>
    <mergeCell ref="A54:D54"/>
  </mergeCells>
  <dataValidations count="1">
    <dataValidation allowBlank="true" errorStyle="stop" operator="between" showDropDown="false" showErrorMessage="false" showInputMessage="false" sqref="C4:C53" type="list">
      <formula1>"Appartement,Maison,Terrain,Local commercial,Parking,Autre"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14" min="3" style="0" width="10"/>
  </cols>
  <sheetData>
    <row r="1" customFormat="false" ht="39.75" hidden="false" customHeight="true" outlineLevel="0" collapsed="false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7.7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18" t="s">
        <v>29</v>
      </c>
    </row>
    <row r="5" customFormat="false" ht="25.5" hidden="false" customHeight="true" outlineLevel="0" collapsed="false">
      <c r="A5" s="19" t="s">
        <v>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customFormat="false" ht="15" hidden="false" customHeight="false" outlineLevel="0" collapsed="false">
      <c r="A6" s="11" t="s">
        <v>31</v>
      </c>
      <c r="B6" s="20" t="n">
        <v>105</v>
      </c>
      <c r="C6" s="21" t="n">
        <f aca="false">$B6</f>
        <v>105</v>
      </c>
      <c r="D6" s="21" t="n">
        <f aca="false">$B6</f>
        <v>105</v>
      </c>
      <c r="E6" s="21" t="n">
        <f aca="false">$B6</f>
        <v>105</v>
      </c>
      <c r="F6" s="21" t="n">
        <f aca="false">$B6</f>
        <v>105</v>
      </c>
      <c r="G6" s="21" t="n">
        <f aca="false">$B6</f>
        <v>105</v>
      </c>
      <c r="H6" s="21" t="n">
        <f aca="false">$B6</f>
        <v>105</v>
      </c>
      <c r="I6" s="21" t="n">
        <f aca="false">$B6</f>
        <v>105</v>
      </c>
      <c r="J6" s="21" t="n">
        <f aca="false">$B6</f>
        <v>105</v>
      </c>
      <c r="K6" s="21" t="n">
        <f aca="false">$B6</f>
        <v>105</v>
      </c>
      <c r="L6" s="21" t="n">
        <f aca="false">$B6</f>
        <v>105</v>
      </c>
      <c r="M6" s="21" t="n">
        <f aca="false">$B6</f>
        <v>105</v>
      </c>
      <c r="N6" s="21" t="n">
        <f aca="false">$B6</f>
        <v>105</v>
      </c>
      <c r="O6" s="22" t="n">
        <f aca="false">SUM(C6:N6)</f>
        <v>1260</v>
      </c>
    </row>
    <row r="7" customFormat="false" ht="15" hidden="false" customHeight="false" outlineLevel="0" collapsed="false">
      <c r="A7" s="15" t="s">
        <v>32</v>
      </c>
      <c r="B7" s="20" t="n">
        <v>84</v>
      </c>
      <c r="C7" s="23" t="n">
        <f aca="false">$B7</f>
        <v>84</v>
      </c>
      <c r="D7" s="23" t="n">
        <f aca="false">$B7</f>
        <v>84</v>
      </c>
      <c r="E7" s="23" t="n">
        <f aca="false">$B7</f>
        <v>84</v>
      </c>
      <c r="F7" s="23" t="n">
        <f aca="false">$B7</f>
        <v>84</v>
      </c>
      <c r="G7" s="23" t="n">
        <f aca="false">$B7</f>
        <v>84</v>
      </c>
      <c r="H7" s="23" t="n">
        <f aca="false">$B7</f>
        <v>84</v>
      </c>
      <c r="I7" s="23" t="n">
        <f aca="false">$B7</f>
        <v>84</v>
      </c>
      <c r="J7" s="23" t="n">
        <f aca="false">$B7</f>
        <v>84</v>
      </c>
      <c r="K7" s="23" t="n">
        <f aca="false">$B7</f>
        <v>84</v>
      </c>
      <c r="L7" s="23" t="n">
        <f aca="false">$B7</f>
        <v>84</v>
      </c>
      <c r="M7" s="23" t="n">
        <f aca="false">$B7</f>
        <v>84</v>
      </c>
      <c r="N7" s="23" t="n">
        <f aca="false">$B7</f>
        <v>84</v>
      </c>
      <c r="O7" s="24" t="n">
        <f aca="false">SUM(C7:N7)</f>
        <v>1008</v>
      </c>
    </row>
    <row r="8" customFormat="false" ht="15" hidden="false" customHeight="false" outlineLevel="0" collapsed="false">
      <c r="A8" s="11" t="s">
        <v>33</v>
      </c>
      <c r="B8" s="20" t="n">
        <v>12.5</v>
      </c>
      <c r="C8" s="21" t="n">
        <f aca="false">$B8</f>
        <v>12.5</v>
      </c>
      <c r="D8" s="21" t="n">
        <f aca="false">$B8</f>
        <v>12.5</v>
      </c>
      <c r="E8" s="21" t="n">
        <f aca="false">$B8</f>
        <v>12.5</v>
      </c>
      <c r="F8" s="21" t="n">
        <f aca="false">$B8</f>
        <v>12.5</v>
      </c>
      <c r="G8" s="21" t="n">
        <f aca="false">$B8</f>
        <v>12.5</v>
      </c>
      <c r="H8" s="21" t="n">
        <f aca="false">$B8</f>
        <v>12.5</v>
      </c>
      <c r="I8" s="21" t="n">
        <f aca="false">$B8</f>
        <v>12.5</v>
      </c>
      <c r="J8" s="21" t="n">
        <f aca="false">$B8</f>
        <v>12.5</v>
      </c>
      <c r="K8" s="21" t="n">
        <f aca="false">$B8</f>
        <v>12.5</v>
      </c>
      <c r="L8" s="21" t="n">
        <f aca="false">$B8</f>
        <v>12.5</v>
      </c>
      <c r="M8" s="21" t="n">
        <f aca="false">$B8</f>
        <v>12.5</v>
      </c>
      <c r="N8" s="21" t="n">
        <f aca="false">$B8</f>
        <v>12.5</v>
      </c>
      <c r="O8" s="22" t="n">
        <f aca="false">SUM(C8:N8)</f>
        <v>150</v>
      </c>
    </row>
    <row r="9" customFormat="false" ht="15" hidden="false" customHeight="false" outlineLevel="0" collapsed="false">
      <c r="A9" s="15" t="s">
        <v>34</v>
      </c>
      <c r="B9" s="20" t="n">
        <v>80</v>
      </c>
      <c r="C9" s="23" t="n">
        <f aca="false">$B9</f>
        <v>80</v>
      </c>
      <c r="D9" s="23" t="n">
        <f aca="false">$B9</f>
        <v>80</v>
      </c>
      <c r="E9" s="23" t="n">
        <f aca="false">$B9</f>
        <v>80</v>
      </c>
      <c r="F9" s="23" t="n">
        <f aca="false">$B9</f>
        <v>80</v>
      </c>
      <c r="G9" s="23" t="n">
        <f aca="false">$B9</f>
        <v>80</v>
      </c>
      <c r="H9" s="23" t="n">
        <f aca="false">$B9</f>
        <v>80</v>
      </c>
      <c r="I9" s="23" t="n">
        <f aca="false">$B9</f>
        <v>80</v>
      </c>
      <c r="J9" s="23" t="n">
        <f aca="false">$B9</f>
        <v>80</v>
      </c>
      <c r="K9" s="23" t="n">
        <f aca="false">$B9</f>
        <v>80</v>
      </c>
      <c r="L9" s="23" t="n">
        <f aca="false">$B9</f>
        <v>80</v>
      </c>
      <c r="M9" s="23" t="n">
        <f aca="false">$B9</f>
        <v>80</v>
      </c>
      <c r="N9" s="23" t="n">
        <f aca="false">$B9</f>
        <v>80</v>
      </c>
      <c r="O9" s="24" t="n">
        <f aca="false">SUM(C9:N9)</f>
        <v>960</v>
      </c>
    </row>
    <row r="10" customFormat="false" ht="15" hidden="false" customHeight="false" outlineLevel="0" collapsed="false">
      <c r="A10" s="11" t="s">
        <v>35</v>
      </c>
      <c r="B10" s="20" t="n">
        <v>50</v>
      </c>
      <c r="C10" s="21" t="n">
        <f aca="false">$B10</f>
        <v>50</v>
      </c>
      <c r="D10" s="21" t="n">
        <f aca="false">$B10</f>
        <v>50</v>
      </c>
      <c r="E10" s="21" t="n">
        <f aca="false">$B10</f>
        <v>50</v>
      </c>
      <c r="F10" s="21" t="n">
        <f aca="false">$B10</f>
        <v>50</v>
      </c>
      <c r="G10" s="21" t="n">
        <f aca="false">$B10</f>
        <v>50</v>
      </c>
      <c r="H10" s="21" t="n">
        <f aca="false">$B10</f>
        <v>50</v>
      </c>
      <c r="I10" s="21" t="n">
        <f aca="false">$B10</f>
        <v>50</v>
      </c>
      <c r="J10" s="21" t="n">
        <f aca="false">$B10</f>
        <v>50</v>
      </c>
      <c r="K10" s="21" t="n">
        <f aca="false">$B10</f>
        <v>50</v>
      </c>
      <c r="L10" s="21" t="n">
        <f aca="false">$B10</f>
        <v>50</v>
      </c>
      <c r="M10" s="21" t="n">
        <f aca="false">$B10</f>
        <v>50</v>
      </c>
      <c r="N10" s="21" t="n">
        <f aca="false">$B10</f>
        <v>50</v>
      </c>
      <c r="O10" s="22" t="n">
        <f aca="false">SUM(C10:N10)</f>
        <v>600</v>
      </c>
    </row>
    <row r="11" customFormat="false" ht="15" hidden="false" customHeight="false" outlineLevel="0" collapsed="false">
      <c r="A11" s="15" t="s">
        <v>36</v>
      </c>
      <c r="B11" s="20" t="n">
        <v>30</v>
      </c>
      <c r="C11" s="23" t="n">
        <f aca="false">$B11</f>
        <v>30</v>
      </c>
      <c r="D11" s="23" t="n">
        <f aca="false">$B11</f>
        <v>30</v>
      </c>
      <c r="E11" s="23" t="n">
        <f aca="false">$B11</f>
        <v>30</v>
      </c>
      <c r="F11" s="23" t="n">
        <f aca="false">$B11</f>
        <v>30</v>
      </c>
      <c r="G11" s="23" t="n">
        <f aca="false">$B11</f>
        <v>30</v>
      </c>
      <c r="H11" s="23" t="n">
        <f aca="false">$B11</f>
        <v>30</v>
      </c>
      <c r="I11" s="23" t="n">
        <f aca="false">$B11</f>
        <v>30</v>
      </c>
      <c r="J11" s="23" t="n">
        <f aca="false">$B11</f>
        <v>30</v>
      </c>
      <c r="K11" s="23" t="n">
        <f aca="false">$B11</f>
        <v>30</v>
      </c>
      <c r="L11" s="23" t="n">
        <f aca="false">$B11</f>
        <v>30</v>
      </c>
      <c r="M11" s="23" t="n">
        <f aca="false">$B11</f>
        <v>30</v>
      </c>
      <c r="N11" s="23" t="n">
        <f aca="false">$B11</f>
        <v>30</v>
      </c>
      <c r="O11" s="24" t="n">
        <f aca="false">SUM(C11:N11)</f>
        <v>360</v>
      </c>
    </row>
    <row r="12" customFormat="false" ht="15" hidden="false" customHeight="false" outlineLevel="0" collapsed="false">
      <c r="A12" s="11" t="s">
        <v>37</v>
      </c>
      <c r="B12" s="20" t="n">
        <v>20</v>
      </c>
      <c r="C12" s="21" t="n">
        <f aca="false">$B12</f>
        <v>20</v>
      </c>
      <c r="D12" s="21" t="n">
        <f aca="false">$B12</f>
        <v>20</v>
      </c>
      <c r="E12" s="21" t="n">
        <f aca="false">$B12</f>
        <v>20</v>
      </c>
      <c r="F12" s="21" t="n">
        <f aca="false">$B12</f>
        <v>20</v>
      </c>
      <c r="G12" s="21" t="n">
        <f aca="false">$B12</f>
        <v>20</v>
      </c>
      <c r="H12" s="21" t="n">
        <f aca="false">$B12</f>
        <v>20</v>
      </c>
      <c r="I12" s="21" t="n">
        <f aca="false">$B12</f>
        <v>20</v>
      </c>
      <c r="J12" s="21" t="n">
        <f aca="false">$B12</f>
        <v>20</v>
      </c>
      <c r="K12" s="21" t="n">
        <f aca="false">$B12</f>
        <v>20</v>
      </c>
      <c r="L12" s="21" t="n">
        <f aca="false">$B12</f>
        <v>20</v>
      </c>
      <c r="M12" s="21" t="n">
        <f aca="false">$B12</f>
        <v>20</v>
      </c>
      <c r="N12" s="21" t="n">
        <f aca="false">$B12</f>
        <v>20</v>
      </c>
      <c r="O12" s="22" t="n">
        <f aca="false">SUM(C12:N12)</f>
        <v>240</v>
      </c>
    </row>
    <row r="13" customFormat="false" ht="15" hidden="false" customHeight="false" outlineLevel="0" collapsed="false">
      <c r="A13" s="15" t="s">
        <v>38</v>
      </c>
      <c r="B13" s="20" t="n">
        <v>30</v>
      </c>
      <c r="C13" s="23" t="n">
        <f aca="false">$B13</f>
        <v>30</v>
      </c>
      <c r="D13" s="23" t="n">
        <f aca="false">$B13</f>
        <v>30</v>
      </c>
      <c r="E13" s="23" t="n">
        <f aca="false">$B13</f>
        <v>30</v>
      </c>
      <c r="F13" s="23" t="n">
        <f aca="false">$B13</f>
        <v>30</v>
      </c>
      <c r="G13" s="23" t="n">
        <f aca="false">$B13</f>
        <v>30</v>
      </c>
      <c r="H13" s="23" t="n">
        <f aca="false">$B13</f>
        <v>30</v>
      </c>
      <c r="I13" s="23" t="n">
        <f aca="false">$B13</f>
        <v>30</v>
      </c>
      <c r="J13" s="23" t="n">
        <f aca="false">$B13</f>
        <v>30</v>
      </c>
      <c r="K13" s="23" t="n">
        <f aca="false">$B13</f>
        <v>30</v>
      </c>
      <c r="L13" s="23" t="n">
        <f aca="false">$B13</f>
        <v>30</v>
      </c>
      <c r="M13" s="23" t="n">
        <f aca="false">$B13</f>
        <v>30</v>
      </c>
      <c r="N13" s="23" t="n">
        <f aca="false">$B13</f>
        <v>30</v>
      </c>
      <c r="O13" s="24" t="n">
        <f aca="false">SUM(C13:N13)</f>
        <v>360</v>
      </c>
    </row>
    <row r="14" customFormat="false" ht="15" hidden="false" customHeight="false" outlineLevel="0" collapsed="false">
      <c r="A14" s="11" t="s">
        <v>39</v>
      </c>
      <c r="B14" s="20" t="n">
        <v>50</v>
      </c>
      <c r="C14" s="21" t="n">
        <f aca="false">$B14</f>
        <v>50</v>
      </c>
      <c r="D14" s="21" t="n">
        <f aca="false">$B14</f>
        <v>50</v>
      </c>
      <c r="E14" s="21" t="n">
        <f aca="false">$B14</f>
        <v>50</v>
      </c>
      <c r="F14" s="21" t="n">
        <f aca="false">$B14</f>
        <v>50</v>
      </c>
      <c r="G14" s="21" t="n">
        <f aca="false">$B14</f>
        <v>50</v>
      </c>
      <c r="H14" s="21" t="n">
        <f aca="false">$B14</f>
        <v>50</v>
      </c>
      <c r="I14" s="21" t="n">
        <f aca="false">$B14</f>
        <v>50</v>
      </c>
      <c r="J14" s="21" t="n">
        <f aca="false">$B14</f>
        <v>50</v>
      </c>
      <c r="K14" s="21" t="n">
        <f aca="false">$B14</f>
        <v>50</v>
      </c>
      <c r="L14" s="21" t="n">
        <f aca="false">$B14</f>
        <v>50</v>
      </c>
      <c r="M14" s="21" t="n">
        <f aca="false">$B14</f>
        <v>50</v>
      </c>
      <c r="N14" s="21" t="n">
        <f aca="false">$B14</f>
        <v>50</v>
      </c>
      <c r="O14" s="22" t="n">
        <f aca="false">SUM(C14:N14)</f>
        <v>600</v>
      </c>
    </row>
    <row r="15" customFormat="false" ht="15" hidden="false" customHeight="false" outlineLevel="0" collapsed="false">
      <c r="A15" s="15" t="s">
        <v>40</v>
      </c>
      <c r="B15" s="20" t="n">
        <v>20</v>
      </c>
      <c r="C15" s="23" t="n">
        <f aca="false">$B15</f>
        <v>20</v>
      </c>
      <c r="D15" s="23" t="n">
        <f aca="false">$B15</f>
        <v>20</v>
      </c>
      <c r="E15" s="23" t="n">
        <f aca="false">$B15</f>
        <v>20</v>
      </c>
      <c r="F15" s="23" t="n">
        <f aca="false">$B15</f>
        <v>20</v>
      </c>
      <c r="G15" s="23" t="n">
        <f aca="false">$B15</f>
        <v>20</v>
      </c>
      <c r="H15" s="23" t="n">
        <f aca="false">$B15</f>
        <v>20</v>
      </c>
      <c r="I15" s="23" t="n">
        <f aca="false">$B15</f>
        <v>20</v>
      </c>
      <c r="J15" s="23" t="n">
        <f aca="false">$B15</f>
        <v>20</v>
      </c>
      <c r="K15" s="23" t="n">
        <f aca="false">$B15</f>
        <v>20</v>
      </c>
      <c r="L15" s="23" t="n">
        <f aca="false">$B15</f>
        <v>20</v>
      </c>
      <c r="M15" s="23" t="n">
        <f aca="false">$B15</f>
        <v>20</v>
      </c>
      <c r="N15" s="23" t="n">
        <f aca="false">$B15</f>
        <v>20</v>
      </c>
      <c r="O15" s="24" t="n">
        <f aca="false">SUM(C15:N15)</f>
        <v>240</v>
      </c>
    </row>
    <row r="16" customFormat="false" ht="24" hidden="false" customHeight="true" outlineLevel="0" collapsed="false">
      <c r="A16" s="25" t="s">
        <v>41</v>
      </c>
      <c r="B16" s="25"/>
      <c r="C16" s="26" t="n">
        <f aca="false">SUM(C6:C15)</f>
        <v>481.5</v>
      </c>
      <c r="D16" s="26" t="n">
        <f aca="false">SUM(D6:D15)</f>
        <v>481.5</v>
      </c>
      <c r="E16" s="26" t="n">
        <f aca="false">SUM(E6:E15)</f>
        <v>481.5</v>
      </c>
      <c r="F16" s="26" t="n">
        <f aca="false">SUM(F6:F15)</f>
        <v>481.5</v>
      </c>
      <c r="G16" s="26" t="n">
        <f aca="false">SUM(G6:G15)</f>
        <v>481.5</v>
      </c>
      <c r="H16" s="26" t="n">
        <f aca="false">SUM(H6:H15)</f>
        <v>481.5</v>
      </c>
      <c r="I16" s="26" t="n">
        <f aca="false">SUM(I6:I15)</f>
        <v>481.5</v>
      </c>
      <c r="J16" s="26" t="n">
        <f aca="false">SUM(J6:J15)</f>
        <v>481.5</v>
      </c>
      <c r="K16" s="26" t="n">
        <f aca="false">SUM(K6:K15)</f>
        <v>481.5</v>
      </c>
      <c r="L16" s="26" t="n">
        <f aca="false">SUM(L6:L15)</f>
        <v>481.5</v>
      </c>
      <c r="M16" s="26" t="n">
        <f aca="false">SUM(M6:M15)</f>
        <v>481.5</v>
      </c>
      <c r="N16" s="26" t="n">
        <f aca="false">SUM(N6:N15)</f>
        <v>481.5</v>
      </c>
      <c r="O16" s="26" t="n">
        <f aca="false">SUM(O6:O15)</f>
        <v>5778</v>
      </c>
    </row>
    <row r="17" customFormat="false" ht="25.5" hidden="false" customHeight="true" outlineLevel="0" collapsed="false">
      <c r="A17" s="19" t="s">
        <v>42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</row>
    <row r="18" customFormat="false" ht="15" hidden="false" customHeight="false" outlineLevel="0" collapsed="false">
      <c r="A18" s="11" t="s">
        <v>43</v>
      </c>
      <c r="B18" s="20" t="n">
        <v>800</v>
      </c>
      <c r="C18" s="21" t="n">
        <f aca="false">$B18</f>
        <v>800</v>
      </c>
      <c r="D18" s="21" t="n">
        <f aca="false">$B18</f>
        <v>800</v>
      </c>
      <c r="E18" s="21" t="n">
        <f aca="false">$B18</f>
        <v>800</v>
      </c>
      <c r="F18" s="21" t="n">
        <f aca="false">$B18</f>
        <v>800</v>
      </c>
      <c r="G18" s="21" t="n">
        <f aca="false">$B18</f>
        <v>800</v>
      </c>
      <c r="H18" s="21" t="n">
        <f aca="false">$B18</f>
        <v>800</v>
      </c>
      <c r="I18" s="21" t="n">
        <f aca="false">$B18</f>
        <v>800</v>
      </c>
      <c r="J18" s="21" t="n">
        <f aca="false">$B18</f>
        <v>800</v>
      </c>
      <c r="K18" s="21" t="n">
        <f aca="false">$B18</f>
        <v>800</v>
      </c>
      <c r="L18" s="21" t="n">
        <f aca="false">$B18</f>
        <v>800</v>
      </c>
      <c r="M18" s="21" t="n">
        <f aca="false">$B18</f>
        <v>800</v>
      </c>
      <c r="N18" s="21" t="n">
        <f aca="false">$B18</f>
        <v>800</v>
      </c>
      <c r="O18" s="22" t="n">
        <f aca="false">SUM(C18:N18)</f>
        <v>9600</v>
      </c>
    </row>
    <row r="19" customFormat="false" ht="15" hidden="false" customHeight="false" outlineLevel="0" collapsed="false">
      <c r="A19" s="15" t="s">
        <v>44</v>
      </c>
      <c r="B19" s="20" t="n">
        <v>400</v>
      </c>
      <c r="C19" s="23" t="n">
        <f aca="false">$B19</f>
        <v>400</v>
      </c>
      <c r="D19" s="23" t="n">
        <f aca="false">$B19</f>
        <v>400</v>
      </c>
      <c r="E19" s="23" t="n">
        <f aca="false">$B19</f>
        <v>400</v>
      </c>
      <c r="F19" s="23" t="n">
        <f aca="false">$B19</f>
        <v>400</v>
      </c>
      <c r="G19" s="23" t="n">
        <f aca="false">$B19</f>
        <v>400</v>
      </c>
      <c r="H19" s="23" t="n">
        <f aca="false">$B19</f>
        <v>400</v>
      </c>
      <c r="I19" s="23" t="n">
        <f aca="false">$B19</f>
        <v>400</v>
      </c>
      <c r="J19" s="23" t="n">
        <f aca="false">$B19</f>
        <v>400</v>
      </c>
      <c r="K19" s="23" t="n">
        <f aca="false">$B19</f>
        <v>400</v>
      </c>
      <c r="L19" s="23" t="n">
        <f aca="false">$B19</f>
        <v>400</v>
      </c>
      <c r="M19" s="23" t="n">
        <f aca="false">$B19</f>
        <v>400</v>
      </c>
      <c r="N19" s="23" t="n">
        <f aca="false">$B19</f>
        <v>400</v>
      </c>
      <c r="O19" s="24" t="n">
        <f aca="false">SUM(C19:N19)</f>
        <v>4800</v>
      </c>
    </row>
    <row r="20" customFormat="false" ht="15" hidden="false" customHeight="false" outlineLevel="0" collapsed="false">
      <c r="A20" s="11" t="s">
        <v>45</v>
      </c>
      <c r="B20" s="20" t="n">
        <v>200</v>
      </c>
      <c r="C20" s="21" t="n">
        <f aca="false">$B20</f>
        <v>200</v>
      </c>
      <c r="D20" s="21" t="n">
        <f aca="false">$B20</f>
        <v>200</v>
      </c>
      <c r="E20" s="21" t="n">
        <f aca="false">$B20</f>
        <v>200</v>
      </c>
      <c r="F20" s="21" t="n">
        <f aca="false">$B20</f>
        <v>200</v>
      </c>
      <c r="G20" s="21" t="n">
        <f aca="false">$B20</f>
        <v>200</v>
      </c>
      <c r="H20" s="21" t="n">
        <f aca="false">$B20</f>
        <v>200</v>
      </c>
      <c r="I20" s="21" t="n">
        <f aca="false">$B20</f>
        <v>200</v>
      </c>
      <c r="J20" s="21" t="n">
        <f aca="false">$B20</f>
        <v>200</v>
      </c>
      <c r="K20" s="21" t="n">
        <f aca="false">$B20</f>
        <v>200</v>
      </c>
      <c r="L20" s="21" t="n">
        <f aca="false">$B20</f>
        <v>200</v>
      </c>
      <c r="M20" s="21" t="n">
        <f aca="false">$B20</f>
        <v>200</v>
      </c>
      <c r="N20" s="21" t="n">
        <f aca="false">$B20</f>
        <v>200</v>
      </c>
      <c r="O20" s="22" t="n">
        <f aca="false">SUM(C20:N20)</f>
        <v>2400</v>
      </c>
    </row>
    <row r="21" customFormat="false" ht="15" hidden="false" customHeight="false" outlineLevel="0" collapsed="false">
      <c r="A21" s="15" t="s">
        <v>46</v>
      </c>
      <c r="B21" s="20" t="n">
        <v>0</v>
      </c>
      <c r="C21" s="23" t="n">
        <f aca="false">$B21</f>
        <v>0</v>
      </c>
      <c r="D21" s="23" t="n">
        <f aca="false">$B21</f>
        <v>0</v>
      </c>
      <c r="E21" s="23" t="n">
        <f aca="false">$B21</f>
        <v>0</v>
      </c>
      <c r="F21" s="23" t="n">
        <f aca="false">$B21</f>
        <v>0</v>
      </c>
      <c r="G21" s="23" t="n">
        <f aca="false">$B21</f>
        <v>0</v>
      </c>
      <c r="H21" s="23" t="n">
        <f aca="false">$B21</f>
        <v>0</v>
      </c>
      <c r="I21" s="23" t="n">
        <f aca="false">$B21</f>
        <v>0</v>
      </c>
      <c r="J21" s="23" t="n">
        <f aca="false">$B21</f>
        <v>0</v>
      </c>
      <c r="K21" s="23" t="n">
        <f aca="false">$B21</f>
        <v>0</v>
      </c>
      <c r="L21" s="23" t="n">
        <f aca="false">$B21</f>
        <v>0</v>
      </c>
      <c r="M21" s="23" t="n">
        <f aca="false">$B21</f>
        <v>0</v>
      </c>
      <c r="N21" s="23" t="n">
        <f aca="false">$B21</f>
        <v>0</v>
      </c>
      <c r="O21" s="24" t="n">
        <f aca="false">SUM(C21:N21)</f>
        <v>0</v>
      </c>
    </row>
    <row r="22" customFormat="false" ht="15" hidden="false" customHeight="false" outlineLevel="0" collapsed="false">
      <c r="A22" s="11" t="s">
        <v>47</v>
      </c>
      <c r="B22" s="20" t="n">
        <v>150</v>
      </c>
      <c r="C22" s="21" t="n">
        <f aca="false">$B22</f>
        <v>150</v>
      </c>
      <c r="D22" s="21" t="n">
        <f aca="false">$B22</f>
        <v>150</v>
      </c>
      <c r="E22" s="21" t="n">
        <f aca="false">$B22</f>
        <v>150</v>
      </c>
      <c r="F22" s="21" t="n">
        <f aca="false">$B22</f>
        <v>150</v>
      </c>
      <c r="G22" s="21" t="n">
        <f aca="false">$B22</f>
        <v>150</v>
      </c>
      <c r="H22" s="21" t="n">
        <f aca="false">$B22</f>
        <v>150</v>
      </c>
      <c r="I22" s="21" t="n">
        <f aca="false">$B22</f>
        <v>150</v>
      </c>
      <c r="J22" s="21" t="n">
        <f aca="false">$B22</f>
        <v>150</v>
      </c>
      <c r="K22" s="21" t="n">
        <f aca="false">$B22</f>
        <v>150</v>
      </c>
      <c r="L22" s="21" t="n">
        <f aca="false">$B22</f>
        <v>150</v>
      </c>
      <c r="M22" s="21" t="n">
        <f aca="false">$B22</f>
        <v>150</v>
      </c>
      <c r="N22" s="21" t="n">
        <f aca="false">$B22</f>
        <v>150</v>
      </c>
      <c r="O22" s="22" t="n">
        <f aca="false">SUM(C22:N22)</f>
        <v>1800</v>
      </c>
    </row>
    <row r="23" customFormat="false" ht="15" hidden="false" customHeight="false" outlineLevel="0" collapsed="false">
      <c r="A23" s="15" t="s">
        <v>48</v>
      </c>
      <c r="B23" s="20" t="n">
        <v>100</v>
      </c>
      <c r="C23" s="23" t="n">
        <f aca="false">$B23</f>
        <v>100</v>
      </c>
      <c r="D23" s="23" t="n">
        <f aca="false">$B23</f>
        <v>100</v>
      </c>
      <c r="E23" s="23" t="n">
        <f aca="false">$B23</f>
        <v>100</v>
      </c>
      <c r="F23" s="23" t="n">
        <f aca="false">$B23</f>
        <v>100</v>
      </c>
      <c r="G23" s="23" t="n">
        <f aca="false">$B23</f>
        <v>100</v>
      </c>
      <c r="H23" s="23" t="n">
        <f aca="false">$B23</f>
        <v>100</v>
      </c>
      <c r="I23" s="23" t="n">
        <f aca="false">$B23</f>
        <v>100</v>
      </c>
      <c r="J23" s="23" t="n">
        <f aca="false">$B23</f>
        <v>100</v>
      </c>
      <c r="K23" s="23" t="n">
        <f aca="false">$B23</f>
        <v>100</v>
      </c>
      <c r="L23" s="23" t="n">
        <f aca="false">$B23</f>
        <v>100</v>
      </c>
      <c r="M23" s="23" t="n">
        <f aca="false">$B23</f>
        <v>100</v>
      </c>
      <c r="N23" s="23" t="n">
        <f aca="false">$B23</f>
        <v>100</v>
      </c>
      <c r="O23" s="24" t="n">
        <f aca="false">SUM(C23:N23)</f>
        <v>1200</v>
      </c>
    </row>
    <row r="24" customFormat="false" ht="24" hidden="false" customHeight="true" outlineLevel="0" collapsed="false">
      <c r="A24" s="25" t="s">
        <v>49</v>
      </c>
      <c r="B24" s="25"/>
      <c r="C24" s="26" t="n">
        <f aca="false">SUM(C18:C23)</f>
        <v>1650</v>
      </c>
      <c r="D24" s="26" t="n">
        <f aca="false">SUM(D18:D23)</f>
        <v>1650</v>
      </c>
      <c r="E24" s="26" t="n">
        <f aca="false">SUM(E18:E23)</f>
        <v>1650</v>
      </c>
      <c r="F24" s="26" t="n">
        <f aca="false">SUM(F18:F23)</f>
        <v>1650</v>
      </c>
      <c r="G24" s="26" t="n">
        <f aca="false">SUM(G18:G23)</f>
        <v>1650</v>
      </c>
      <c r="H24" s="26" t="n">
        <f aca="false">SUM(H18:H23)</f>
        <v>1650</v>
      </c>
      <c r="I24" s="26" t="n">
        <f aca="false">SUM(I18:I23)</f>
        <v>1650</v>
      </c>
      <c r="J24" s="26" t="n">
        <f aca="false">SUM(J18:J23)</f>
        <v>1650</v>
      </c>
      <c r="K24" s="26" t="n">
        <f aca="false">SUM(K18:K23)</f>
        <v>1650</v>
      </c>
      <c r="L24" s="26" t="n">
        <f aca="false">SUM(L18:L23)</f>
        <v>1650</v>
      </c>
      <c r="M24" s="26" t="n">
        <f aca="false">SUM(M18:M23)</f>
        <v>1650</v>
      </c>
      <c r="N24" s="26" t="n">
        <f aca="false">SUM(N18:N23)</f>
        <v>1650</v>
      </c>
      <c r="O24" s="26" t="n">
        <f aca="false">SUM(O18:O23)</f>
        <v>19800</v>
      </c>
    </row>
    <row r="26" customFormat="false" ht="30" hidden="false" customHeight="true" outlineLevel="0" collapsed="false">
      <c r="A26" s="27" t="s">
        <v>50</v>
      </c>
      <c r="B26" s="27"/>
      <c r="C26" s="17" t="n">
        <f aca="false">C16+C24</f>
        <v>2131.5</v>
      </c>
      <c r="D26" s="17" t="n">
        <f aca="false">D16+D24</f>
        <v>2131.5</v>
      </c>
      <c r="E26" s="17" t="n">
        <f aca="false">E16+E24</f>
        <v>2131.5</v>
      </c>
      <c r="F26" s="17" t="n">
        <f aca="false">F16+F24</f>
        <v>2131.5</v>
      </c>
      <c r="G26" s="17" t="n">
        <f aca="false">G16+G24</f>
        <v>2131.5</v>
      </c>
      <c r="H26" s="17" t="n">
        <f aca="false">H16+H24</f>
        <v>2131.5</v>
      </c>
      <c r="I26" s="17" t="n">
        <f aca="false">I16+I24</f>
        <v>2131.5</v>
      </c>
      <c r="J26" s="17" t="n">
        <f aca="false">J16+J24</f>
        <v>2131.5</v>
      </c>
      <c r="K26" s="17" t="n">
        <f aca="false">K16+K24</f>
        <v>2131.5</v>
      </c>
      <c r="L26" s="17" t="n">
        <f aca="false">L16+L24</f>
        <v>2131.5</v>
      </c>
      <c r="M26" s="17" t="n">
        <f aca="false">M16+M24</f>
        <v>2131.5</v>
      </c>
      <c r="N26" s="17" t="n">
        <f aca="false">N16+N24</f>
        <v>2131.5</v>
      </c>
      <c r="O26" s="17" t="n">
        <f aca="false">SUM(C26:N26)</f>
        <v>25578</v>
      </c>
    </row>
  </sheetData>
  <mergeCells count="7">
    <mergeCell ref="A1:N1"/>
    <mergeCell ref="A2:N2"/>
    <mergeCell ref="A5:O5"/>
    <mergeCell ref="A16:B16"/>
    <mergeCell ref="A17:O17"/>
    <mergeCell ref="A24:B24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2"/>
    <col collapsed="false" customWidth="true" hidden="false" outlineLevel="0" max="14" min="14" style="0" width="14"/>
  </cols>
  <sheetData>
    <row r="1" customFormat="false" ht="39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7.75" hidden="false" customHeight="true" outlineLevel="0" collapsed="false">
      <c r="A4" s="3" t="s">
        <v>53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18" t="s">
        <v>54</v>
      </c>
    </row>
    <row r="5" customFormat="false" ht="15" hidden="false" customHeight="false" outlineLevel="0" collapsed="false">
      <c r="A5" s="28" t="s">
        <v>55</v>
      </c>
      <c r="B5" s="29" t="n">
        <f aca="false">SUMIF('💰 Mes Ventes'!H$4:H$53,1,'💰 Mes Ventes'!E$4:E$53)</f>
        <v>0</v>
      </c>
      <c r="C5" s="29" t="n">
        <f aca="false">SUMIF('💰 Mes Ventes'!H$4:H$53,2,'💰 Mes Ventes'!E$4:E$53)</f>
        <v>0</v>
      </c>
      <c r="D5" s="29" t="n">
        <f aca="false">SUMIF('💰 Mes Ventes'!H$4:H$53,3,'💰 Mes Ventes'!E$4:E$53)</f>
        <v>0</v>
      </c>
      <c r="E5" s="29" t="n">
        <f aca="false">SUMIF('💰 Mes Ventes'!H$4:H$53,4,'💰 Mes Ventes'!E$4:E$53)</f>
        <v>0</v>
      </c>
      <c r="F5" s="29" t="n">
        <f aca="false">SUMIF('💰 Mes Ventes'!H$4:H$53,5,'💰 Mes Ventes'!E$4:E$53)</f>
        <v>0</v>
      </c>
      <c r="G5" s="29" t="n">
        <f aca="false">SUMIF('💰 Mes Ventes'!H$4:H$53,6,'💰 Mes Ventes'!E$4:E$53)</f>
        <v>0</v>
      </c>
      <c r="H5" s="29" t="n">
        <f aca="false">SUMIF('💰 Mes Ventes'!H$4:H$53,7,'💰 Mes Ventes'!E$4:E$53)</f>
        <v>0</v>
      </c>
      <c r="I5" s="29" t="n">
        <f aca="false">SUMIF('💰 Mes Ventes'!H$4:H$53,8,'💰 Mes Ventes'!E$4:E$53)</f>
        <v>0</v>
      </c>
      <c r="J5" s="29" t="n">
        <f aca="false">SUMIF('💰 Mes Ventes'!H$4:H$53,9,'💰 Mes Ventes'!E$4:E$53)</f>
        <v>0</v>
      </c>
      <c r="K5" s="29" t="n">
        <f aca="false">SUMIF('💰 Mes Ventes'!H$4:H$53,10,'💰 Mes Ventes'!E$4:E$53)</f>
        <v>0</v>
      </c>
      <c r="L5" s="29" t="n">
        <f aca="false">SUMIF('💰 Mes Ventes'!H$4:H$53,11,'💰 Mes Ventes'!E$4:E$53)</f>
        <v>0</v>
      </c>
      <c r="M5" s="29" t="n">
        <f aca="false">SUMIF('💰 Mes Ventes'!H$4:H$53,12,'💰 Mes Ventes'!E$4:E$53)</f>
        <v>0</v>
      </c>
      <c r="N5" s="30" t="n">
        <f aca="false">SUM(B5:M5)</f>
        <v>0</v>
      </c>
    </row>
    <row r="6" customFormat="false" ht="15" hidden="false" customHeight="false" outlineLevel="0" collapsed="false">
      <c r="A6" s="28" t="s">
        <v>56</v>
      </c>
      <c r="B6" s="31" t="n">
        <f aca="false">SUMIF('💰 Mes Ventes'!H$4:H$53,1,'💰 Mes Ventes'!G$4:G$53)</f>
        <v>0</v>
      </c>
      <c r="C6" s="31" t="n">
        <f aca="false">SUMIF('💰 Mes Ventes'!H$4:H$53,2,'💰 Mes Ventes'!G$4:G$53)</f>
        <v>0</v>
      </c>
      <c r="D6" s="31" t="n">
        <f aca="false">SUMIF('💰 Mes Ventes'!H$4:H$53,3,'💰 Mes Ventes'!G$4:G$53)</f>
        <v>0</v>
      </c>
      <c r="E6" s="31" t="n">
        <f aca="false">SUMIF('💰 Mes Ventes'!H$4:H$53,4,'💰 Mes Ventes'!G$4:G$53)</f>
        <v>0</v>
      </c>
      <c r="F6" s="31" t="n">
        <f aca="false">SUMIF('💰 Mes Ventes'!H$4:H$53,5,'💰 Mes Ventes'!G$4:G$53)</f>
        <v>0</v>
      </c>
      <c r="G6" s="31" t="n">
        <f aca="false">SUMIF('💰 Mes Ventes'!H$4:H$53,6,'💰 Mes Ventes'!G$4:G$53)</f>
        <v>0</v>
      </c>
      <c r="H6" s="31" t="n">
        <f aca="false">SUMIF('💰 Mes Ventes'!H$4:H$53,7,'💰 Mes Ventes'!G$4:G$53)</f>
        <v>0</v>
      </c>
      <c r="I6" s="31" t="n">
        <f aca="false">SUMIF('💰 Mes Ventes'!H$4:H$53,8,'💰 Mes Ventes'!G$4:G$53)</f>
        <v>0</v>
      </c>
      <c r="J6" s="31" t="n">
        <f aca="false">SUMIF('💰 Mes Ventes'!H$4:H$53,9,'💰 Mes Ventes'!G$4:G$53)</f>
        <v>0</v>
      </c>
      <c r="K6" s="31" t="n">
        <f aca="false">SUMIF('💰 Mes Ventes'!H$4:H$53,10,'💰 Mes Ventes'!G$4:G$53)</f>
        <v>0</v>
      </c>
      <c r="L6" s="31" t="n">
        <f aca="false">SUMIF('💰 Mes Ventes'!H$4:H$53,11,'💰 Mes Ventes'!G$4:G$53)</f>
        <v>0</v>
      </c>
      <c r="M6" s="31" t="n">
        <f aca="false">SUMIF('💰 Mes Ventes'!H$4:H$53,12,'💰 Mes Ventes'!G$4:G$53)</f>
        <v>0</v>
      </c>
      <c r="N6" s="30" t="n">
        <f aca="false">SUM(B6:M6)</f>
        <v>0</v>
      </c>
    </row>
    <row r="7" customFormat="false" ht="15" hidden="false" customHeight="false" outlineLevel="0" collapsed="false">
      <c r="A7" s="32" t="s">
        <v>57</v>
      </c>
      <c r="B7" s="33" t="n">
        <f aca="false">'📅 Mes Charges'!C26</f>
        <v>2131.5</v>
      </c>
      <c r="C7" s="33" t="n">
        <f aca="false">'📅 Mes Charges'!D26</f>
        <v>2131.5</v>
      </c>
      <c r="D7" s="33" t="n">
        <f aca="false">'📅 Mes Charges'!E26</f>
        <v>2131.5</v>
      </c>
      <c r="E7" s="33" t="n">
        <f aca="false">'📅 Mes Charges'!F26</f>
        <v>2131.5</v>
      </c>
      <c r="F7" s="33" t="n">
        <f aca="false">'📅 Mes Charges'!G26</f>
        <v>2131.5</v>
      </c>
      <c r="G7" s="33" t="n">
        <f aca="false">'📅 Mes Charges'!H26</f>
        <v>2131.5</v>
      </c>
      <c r="H7" s="33" t="n">
        <f aca="false">'📅 Mes Charges'!I26</f>
        <v>2131.5</v>
      </c>
      <c r="I7" s="33" t="n">
        <f aca="false">'📅 Mes Charges'!J26</f>
        <v>2131.5</v>
      </c>
      <c r="J7" s="33" t="n">
        <f aca="false">'📅 Mes Charges'!K26</f>
        <v>2131.5</v>
      </c>
      <c r="K7" s="33" t="n">
        <f aca="false">'📅 Mes Charges'!L26</f>
        <v>2131.5</v>
      </c>
      <c r="L7" s="33" t="n">
        <f aca="false">'📅 Mes Charges'!M26</f>
        <v>2131.5</v>
      </c>
      <c r="M7" s="33" t="n">
        <f aca="false">'📅 Mes Charges'!N26</f>
        <v>2131.5</v>
      </c>
      <c r="N7" s="34" t="n">
        <f aca="false">SUM(B7:M7)</f>
        <v>25578</v>
      </c>
    </row>
    <row r="8" customFormat="false" ht="30" hidden="false" customHeight="true" outlineLevel="0" collapsed="false">
      <c r="A8" s="35" t="s">
        <v>58</v>
      </c>
      <c r="B8" s="36" t="n">
        <f aca="false">B6-B7</f>
        <v>-2131.5</v>
      </c>
      <c r="C8" s="36" t="n">
        <f aca="false">C6-C7</f>
        <v>-2131.5</v>
      </c>
      <c r="D8" s="36" t="n">
        <f aca="false">D6-D7</f>
        <v>-2131.5</v>
      </c>
      <c r="E8" s="36" t="n">
        <f aca="false">E6-E7</f>
        <v>-2131.5</v>
      </c>
      <c r="F8" s="36" t="n">
        <f aca="false">F6-F7</f>
        <v>-2131.5</v>
      </c>
      <c r="G8" s="36" t="n">
        <f aca="false">G6-G7</f>
        <v>-2131.5</v>
      </c>
      <c r="H8" s="36" t="n">
        <f aca="false">H6-H7</f>
        <v>-2131.5</v>
      </c>
      <c r="I8" s="36" t="n">
        <f aca="false">I6-I7</f>
        <v>-2131.5</v>
      </c>
      <c r="J8" s="36" t="n">
        <f aca="false">J6-J7</f>
        <v>-2131.5</v>
      </c>
      <c r="K8" s="36" t="n">
        <f aca="false">K6-K7</f>
        <v>-2131.5</v>
      </c>
      <c r="L8" s="36" t="n">
        <f aca="false">L6-L7</f>
        <v>-2131.5</v>
      </c>
      <c r="M8" s="36" t="n">
        <f aca="false">M6-M7</f>
        <v>-2131.5</v>
      </c>
      <c r="N8" s="37" t="n">
        <f aca="false">SUM(B8:M8)</f>
        <v>-25578</v>
      </c>
    </row>
    <row r="9" customFormat="false" ht="15" hidden="false" customHeight="false" outlineLevel="0" collapsed="false">
      <c r="A9" s="3" t="s">
        <v>59</v>
      </c>
      <c r="B9" s="38" t="n">
        <f aca="false">'🎯 Mon BFR'!B20</f>
        <v>0</v>
      </c>
      <c r="C9" s="38" t="n">
        <f aca="false">'🎯 Mon BFR'!B20</f>
        <v>0</v>
      </c>
      <c r="D9" s="38" t="n">
        <f aca="false">'🎯 Mon BFR'!B20</f>
        <v>0</v>
      </c>
      <c r="E9" s="38" t="n">
        <f aca="false">'🎯 Mon BFR'!B20</f>
        <v>0</v>
      </c>
      <c r="F9" s="38" t="n">
        <f aca="false">'🎯 Mon BFR'!B20</f>
        <v>0</v>
      </c>
      <c r="G9" s="38" t="n">
        <f aca="false">'🎯 Mon BFR'!B20</f>
        <v>0</v>
      </c>
      <c r="H9" s="38" t="n">
        <f aca="false">'🎯 Mon BFR'!B20</f>
        <v>0</v>
      </c>
      <c r="I9" s="38" t="n">
        <f aca="false">'🎯 Mon BFR'!B20</f>
        <v>0</v>
      </c>
      <c r="J9" s="38" t="n">
        <f aca="false">'🎯 Mon BFR'!B20</f>
        <v>0</v>
      </c>
      <c r="K9" s="38" t="n">
        <f aca="false">'🎯 Mon BFR'!B20</f>
        <v>0</v>
      </c>
      <c r="L9" s="38" t="n">
        <f aca="false">'🎯 Mon BFR'!B20</f>
        <v>0</v>
      </c>
      <c r="M9" s="38" t="n">
        <f aca="false">'🎯 Mon BFR'!B20</f>
        <v>0</v>
      </c>
      <c r="N9" s="39" t="n">
        <f aca="false">'🎯 Mon BFR'!B20*12</f>
        <v>0</v>
      </c>
    </row>
    <row r="10" customFormat="false" ht="25.5" hidden="false" customHeight="true" outlineLevel="0" collapsed="false">
      <c r="A10" s="18" t="s">
        <v>60</v>
      </c>
      <c r="B10" s="40" t="n">
        <f aca="false">B8-B9</f>
        <v>-2131.5</v>
      </c>
      <c r="C10" s="40" t="n">
        <f aca="false">C8-C9</f>
        <v>-2131.5</v>
      </c>
      <c r="D10" s="40" t="n">
        <f aca="false">D8-D9</f>
        <v>-2131.5</v>
      </c>
      <c r="E10" s="40" t="n">
        <f aca="false">E8-E9</f>
        <v>-2131.5</v>
      </c>
      <c r="F10" s="40" t="n">
        <f aca="false">F8-F9</f>
        <v>-2131.5</v>
      </c>
      <c r="G10" s="40" t="n">
        <f aca="false">G8-G9</f>
        <v>-2131.5</v>
      </c>
      <c r="H10" s="40" t="n">
        <f aca="false">H8-H9</f>
        <v>-2131.5</v>
      </c>
      <c r="I10" s="40" t="n">
        <f aca="false">I8-I9</f>
        <v>-2131.5</v>
      </c>
      <c r="J10" s="40" t="n">
        <f aca="false">J8-J9</f>
        <v>-2131.5</v>
      </c>
      <c r="K10" s="40" t="n">
        <f aca="false">K8-K9</f>
        <v>-2131.5</v>
      </c>
      <c r="L10" s="40" t="n">
        <f aca="false">L8-L9</f>
        <v>-2131.5</v>
      </c>
      <c r="M10" s="40" t="n">
        <f aca="false">M8-M9</f>
        <v>-2131.5</v>
      </c>
      <c r="N10" s="41" t="n">
        <f aca="false">SUM(B10:M10)</f>
        <v>-25578</v>
      </c>
    </row>
    <row r="11" customFormat="false" ht="7.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customFormat="false" ht="15" hidden="false" customHeight="false" outlineLevel="0" collapsed="false">
      <c r="A12" s="43" t="s">
        <v>61</v>
      </c>
      <c r="B12" s="44" t="n">
        <f aca="false">COUNTIF('💰 Mes Ventes'!H$4:H$53,1)</f>
        <v>0</v>
      </c>
      <c r="C12" s="44" t="n">
        <f aca="false">COUNTIF('💰 Mes Ventes'!H$4:H$53,2)</f>
        <v>0</v>
      </c>
      <c r="D12" s="44" t="n">
        <f aca="false">COUNTIF('💰 Mes Ventes'!H$4:H$53,3)</f>
        <v>0</v>
      </c>
      <c r="E12" s="44" t="n">
        <f aca="false">COUNTIF('💰 Mes Ventes'!H$4:H$53,4)</f>
        <v>0</v>
      </c>
      <c r="F12" s="44" t="n">
        <f aca="false">COUNTIF('💰 Mes Ventes'!H$4:H$53,5)</f>
        <v>0</v>
      </c>
      <c r="G12" s="44" t="n">
        <f aca="false">COUNTIF('💰 Mes Ventes'!H$4:H$53,6)</f>
        <v>0</v>
      </c>
      <c r="H12" s="44" t="n">
        <f aca="false">COUNTIF('💰 Mes Ventes'!H$4:H$53,7)</f>
        <v>0</v>
      </c>
      <c r="I12" s="44" t="n">
        <f aca="false">COUNTIF('💰 Mes Ventes'!H$4:H$53,8)</f>
        <v>0</v>
      </c>
      <c r="J12" s="44" t="n">
        <f aca="false">COUNTIF('💰 Mes Ventes'!H$4:H$53,9)</f>
        <v>0</v>
      </c>
      <c r="K12" s="44" t="n">
        <f aca="false">COUNTIF('💰 Mes Ventes'!H$4:H$53,10)</f>
        <v>0</v>
      </c>
      <c r="L12" s="44" t="n">
        <f aca="false">COUNTIF('💰 Mes Ventes'!H$4:H$53,11)</f>
        <v>0</v>
      </c>
      <c r="M12" s="44" t="n">
        <f aca="false">COUNTIF('💰 Mes Ventes'!H$4:H$53,12)</f>
        <v>0</v>
      </c>
      <c r="N12" s="45" t="n">
        <f aca="false">SUM(B12:M12)</f>
        <v>0</v>
      </c>
    </row>
    <row r="13" customFormat="false" ht="15" hidden="false" customHeight="false" outlineLevel="0" collapsed="false">
      <c r="A13" s="46" t="s">
        <v>62</v>
      </c>
      <c r="B13" s="47" t="str">
        <f aca="false">IFERROR(B5/B12,"-")</f>
        <v>-</v>
      </c>
      <c r="C13" s="47" t="str">
        <f aca="false">IFERROR(C5/C12,"-")</f>
        <v>-</v>
      </c>
      <c r="D13" s="47" t="str">
        <f aca="false">IFERROR(D5/D12,"-")</f>
        <v>-</v>
      </c>
      <c r="E13" s="47" t="str">
        <f aca="false">IFERROR(E5/E12,"-")</f>
        <v>-</v>
      </c>
      <c r="F13" s="47" t="str">
        <f aca="false">IFERROR(F5/F12,"-")</f>
        <v>-</v>
      </c>
      <c r="G13" s="47" t="str">
        <f aca="false">IFERROR(G5/G12,"-")</f>
        <v>-</v>
      </c>
      <c r="H13" s="47" t="str">
        <f aca="false">IFERROR(H5/H12,"-")</f>
        <v>-</v>
      </c>
      <c r="I13" s="47" t="str">
        <f aca="false">IFERROR(I5/I12,"-")</f>
        <v>-</v>
      </c>
      <c r="J13" s="47" t="str">
        <f aca="false">IFERROR(J5/J12,"-")</f>
        <v>-</v>
      </c>
      <c r="K13" s="47" t="str">
        <f aca="false">IFERROR(K5/K12,"-")</f>
        <v>-</v>
      </c>
      <c r="L13" s="47" t="str">
        <f aca="false">IFERROR(L5/L12,"-")</f>
        <v>-</v>
      </c>
      <c r="M13" s="47" t="str">
        <f aca="false">IFERROR(M5/M12,"-")</f>
        <v>-</v>
      </c>
      <c r="N13" s="48" t="str">
        <f aca="false">IFERROR(N5/N12,"-")</f>
        <v>-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35"/>
  </cols>
  <sheetData>
    <row r="1" customFormat="false" ht="39.75" hidden="false" customHeight="true" outlineLevel="0" collapsed="false">
      <c r="A1" s="1" t="s">
        <v>63</v>
      </c>
      <c r="B1" s="1"/>
      <c r="C1" s="1"/>
    </row>
    <row r="2" customFormat="false" ht="21.75" hidden="false" customHeight="true" outlineLevel="0" collapsed="false">
      <c r="A2" s="2" t="s">
        <v>64</v>
      </c>
      <c r="B2" s="2"/>
      <c r="C2" s="2"/>
    </row>
    <row r="4" customFormat="false" ht="25.5" hidden="false" customHeight="true" outlineLevel="0" collapsed="false">
      <c r="A4" s="49" t="s">
        <v>65</v>
      </c>
      <c r="B4" s="49"/>
      <c r="C4" s="49"/>
    </row>
    <row r="5" customFormat="false" ht="21.75" hidden="false" customHeight="true" outlineLevel="0" collapsed="false">
      <c r="A5" s="7" t="s">
        <v>66</v>
      </c>
      <c r="B5" s="8" t="n">
        <v>189</v>
      </c>
      <c r="C5" s="50" t="s">
        <v>67</v>
      </c>
    </row>
    <row r="6" customFormat="false" ht="21.75" hidden="false" customHeight="true" outlineLevel="0" collapsed="false">
      <c r="A6" s="7" t="s">
        <v>68</v>
      </c>
      <c r="B6" s="8" t="n">
        <v>50</v>
      </c>
      <c r="C6" s="50" t="s">
        <v>69</v>
      </c>
    </row>
    <row r="7" customFormat="false" ht="21.75" hidden="false" customHeight="true" outlineLevel="0" collapsed="false">
      <c r="A7" s="7" t="s">
        <v>70</v>
      </c>
      <c r="B7" s="8" t="n">
        <v>50</v>
      </c>
      <c r="C7" s="50" t="s">
        <v>71</v>
      </c>
    </row>
    <row r="8" customFormat="false" ht="21.75" hidden="false" customHeight="true" outlineLevel="0" collapsed="false">
      <c r="A8" s="7" t="s">
        <v>72</v>
      </c>
      <c r="B8" s="8" t="n">
        <v>80</v>
      </c>
      <c r="C8" s="50" t="s">
        <v>73</v>
      </c>
    </row>
    <row r="9" customFormat="false" ht="21.75" hidden="false" customHeight="true" outlineLevel="0" collapsed="false">
      <c r="A9" s="7" t="s">
        <v>74</v>
      </c>
      <c r="B9" s="8" t="n">
        <v>50</v>
      </c>
      <c r="C9" s="50" t="s">
        <v>75</v>
      </c>
    </row>
    <row r="10" customFormat="false" ht="21.75" hidden="false" customHeight="true" outlineLevel="0" collapsed="false">
      <c r="A10" s="15" t="s">
        <v>76</v>
      </c>
      <c r="B10" s="51" t="n">
        <f aca="false">SUM(B5:B9)</f>
        <v>419</v>
      </c>
      <c r="C10" s="50" t="s">
        <v>77</v>
      </c>
    </row>
    <row r="12" customFormat="false" ht="25.5" hidden="false" customHeight="true" outlineLevel="0" collapsed="false">
      <c r="A12" s="49" t="s">
        <v>78</v>
      </c>
      <c r="B12" s="49"/>
      <c r="C12" s="49"/>
    </row>
    <row r="13" customFormat="false" ht="21.75" hidden="false" customHeight="true" outlineLevel="0" collapsed="false">
      <c r="A13" s="7" t="s">
        <v>43</v>
      </c>
      <c r="B13" s="8" t="n">
        <v>800</v>
      </c>
      <c r="C13" s="50" t="s">
        <v>79</v>
      </c>
    </row>
    <row r="14" customFormat="false" ht="21.75" hidden="false" customHeight="true" outlineLevel="0" collapsed="false">
      <c r="A14" s="7" t="s">
        <v>80</v>
      </c>
      <c r="B14" s="8" t="n">
        <v>400</v>
      </c>
      <c r="C14" s="50" t="s">
        <v>81</v>
      </c>
    </row>
    <row r="15" customFormat="false" ht="21.75" hidden="false" customHeight="true" outlineLevel="0" collapsed="false">
      <c r="A15" s="7" t="s">
        <v>45</v>
      </c>
      <c r="B15" s="8" t="n">
        <v>200</v>
      </c>
      <c r="C15" s="50" t="s">
        <v>82</v>
      </c>
    </row>
    <row r="16" customFormat="false" ht="21.75" hidden="false" customHeight="true" outlineLevel="0" collapsed="false">
      <c r="A16" s="7" t="s">
        <v>83</v>
      </c>
      <c r="B16" s="8" t="n">
        <v>0</v>
      </c>
      <c r="C16" s="50" t="s">
        <v>84</v>
      </c>
    </row>
    <row r="17" customFormat="false" ht="21.75" hidden="false" customHeight="true" outlineLevel="0" collapsed="false">
      <c r="A17" s="7" t="s">
        <v>47</v>
      </c>
      <c r="B17" s="8" t="n">
        <v>150</v>
      </c>
      <c r="C17" s="50" t="s">
        <v>85</v>
      </c>
    </row>
    <row r="18" customFormat="false" ht="21.75" hidden="false" customHeight="true" outlineLevel="0" collapsed="false">
      <c r="A18" s="7" t="s">
        <v>86</v>
      </c>
      <c r="B18" s="8" t="n">
        <v>200</v>
      </c>
      <c r="C18" s="50" t="s">
        <v>87</v>
      </c>
    </row>
    <row r="19" customFormat="false" ht="21.75" hidden="false" customHeight="true" outlineLevel="0" collapsed="false">
      <c r="A19" s="15" t="s">
        <v>88</v>
      </c>
      <c r="B19" s="51" t="n">
        <f aca="false">SUM(B13:B18)</f>
        <v>1750</v>
      </c>
      <c r="C19" s="50" t="s">
        <v>77</v>
      </c>
    </row>
    <row r="21" customFormat="false" ht="25.5" hidden="false" customHeight="true" outlineLevel="0" collapsed="false">
      <c r="A21" s="49" t="s">
        <v>89</v>
      </c>
      <c r="B21" s="49"/>
      <c r="C21" s="49"/>
    </row>
    <row r="22" customFormat="false" ht="21.75" hidden="false" customHeight="true" outlineLevel="0" collapsed="false">
      <c r="A22" s="28" t="s">
        <v>90</v>
      </c>
      <c r="B22" s="52" t="n">
        <f aca="false">B10+B19</f>
        <v>2169</v>
      </c>
      <c r="C22" s="50" t="s">
        <v>91</v>
      </c>
    </row>
    <row r="23" customFormat="false" ht="21.75" hidden="false" customHeight="true" outlineLevel="0" collapsed="false">
      <c r="A23" s="15" t="s">
        <v>92</v>
      </c>
      <c r="B23" s="51" t="n">
        <f aca="false">B22*12</f>
        <v>26028</v>
      </c>
      <c r="C23" s="50" t="s">
        <v>93</v>
      </c>
    </row>
    <row r="24" customFormat="false" ht="21.75" hidden="false" customHeight="true" outlineLevel="0" collapsed="false">
      <c r="A24" s="15" t="s">
        <v>94</v>
      </c>
      <c r="B24" s="51" t="n">
        <f aca="false">ROUND(B23/(1-0.22),0)</f>
        <v>33369</v>
      </c>
      <c r="C24" s="50" t="s">
        <v>95</v>
      </c>
    </row>
    <row r="25" customFormat="false" ht="21.75" hidden="false" customHeight="true" outlineLevel="0" collapsed="false">
      <c r="A25" s="15" t="s">
        <v>96</v>
      </c>
      <c r="B25" s="51" t="n">
        <f aca="false">ROUND(B24/5000,1)</f>
        <v>6.7</v>
      </c>
      <c r="C25" s="50" t="s">
        <v>97</v>
      </c>
    </row>
    <row r="26" customFormat="false" ht="21.75" hidden="false" customHeight="true" outlineLevel="0" collapsed="false">
      <c r="A26" s="15" t="s">
        <v>98</v>
      </c>
      <c r="B26" s="51" t="n">
        <f aca="false">ROUND(B25/12,1)</f>
        <v>0.6</v>
      </c>
      <c r="C26" s="50" t="s">
        <v>99</v>
      </c>
    </row>
    <row r="27" customFormat="false" ht="21.75" hidden="false" customHeight="true" outlineLevel="0" collapsed="false">
      <c r="A27" s="15" t="s">
        <v>100</v>
      </c>
      <c r="B27" s="51" t="n">
        <f aca="false">ROUND(B26/0.4,0)</f>
        <v>1</v>
      </c>
      <c r="C27" s="50" t="s">
        <v>101</v>
      </c>
    </row>
    <row r="29" customFormat="false" ht="25.5" hidden="false" customHeight="true" outlineLevel="0" collapsed="false">
      <c r="A29" s="49" t="s">
        <v>102</v>
      </c>
      <c r="B29" s="49"/>
      <c r="C29" s="49"/>
    </row>
    <row r="30" customFormat="false" ht="21.75" hidden="false" customHeight="true" outlineLevel="0" collapsed="false">
      <c r="A30" s="53" t="s">
        <v>103</v>
      </c>
      <c r="B30" s="54" t="s">
        <v>104</v>
      </c>
      <c r="C30" s="55" t="s">
        <v>105</v>
      </c>
    </row>
    <row r="31" customFormat="false" ht="21.75" hidden="false" customHeight="true" outlineLevel="0" collapsed="false">
      <c r="A31" s="53" t="s">
        <v>106</v>
      </c>
      <c r="B31" s="54" t="s">
        <v>107</v>
      </c>
      <c r="C31" s="55"/>
    </row>
    <row r="32" customFormat="false" ht="21.75" hidden="false" customHeight="true" outlineLevel="0" collapsed="false">
      <c r="A32" s="53" t="s">
        <v>108</v>
      </c>
      <c r="B32" s="54" t="s">
        <v>109</v>
      </c>
      <c r="C32" s="55"/>
    </row>
    <row r="33" customFormat="false" ht="21.75" hidden="false" customHeight="true" outlineLevel="0" collapsed="false">
      <c r="A33" s="53" t="s">
        <v>110</v>
      </c>
      <c r="B33" s="54" t="s">
        <v>111</v>
      </c>
      <c r="C33" s="55"/>
    </row>
    <row r="34" customFormat="false" ht="25.5" hidden="false" customHeight="true" outlineLevel="0" collapsed="false">
      <c r="A34" s="56" t="s">
        <v>112</v>
      </c>
      <c r="B34" s="56"/>
      <c r="C34" s="56"/>
    </row>
  </sheetData>
  <mergeCells count="7">
    <mergeCell ref="A1:C1"/>
    <mergeCell ref="A2:C2"/>
    <mergeCell ref="A4:C4"/>
    <mergeCell ref="A12:C12"/>
    <mergeCell ref="A21:C21"/>
    <mergeCell ref="A29:C29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2026-03-09T10:16:20Z</dcterms:created>
  <dc:creator>openpyxl</dc:creator>
  <dc:description/>
  <dc:language>en-US</dc:language>
  <cp:lastModifiedBy/>
  <dcterms:modified xsi:type="dcterms:W3CDTF">2026-03-09T10:16:20Z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